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xiupingshen/Library/Application Support/Box/Box Edit/Documents/1919598945147/"/>
    </mc:Choice>
  </mc:AlternateContent>
  <xr:revisionPtr revIDLastSave="0" documentId="13_ncr:1_{329BFD3B-2BB1-B141-869E-A3E97E5BAB08}" xr6:coauthVersionLast="47" xr6:coauthVersionMax="47" xr10:uidLastSave="{00000000-0000-0000-0000-000000000000}"/>
  <bookViews>
    <workbookView xWindow="520" yWindow="6400" windowWidth="23100" windowHeight="14320" activeTab="1" xr2:uid="{CA5E8FA0-ADD7-1542-BEF7-7B51D3625B80}"/>
  </bookViews>
  <sheets>
    <sheet name="entities_duplicates_removed" sheetId="1" r:id="rId1"/>
    <sheet name="error_proportion" sheetId="2" r:id="rId2"/>
  </sheets>
  <definedNames>
    <definedName name="_xlnm._FilterDatabase" localSheetId="0" hidden="1">entities_duplicates_removed!$J$1:$J$193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86" i="1" l="1"/>
  <c r="J185" i="1"/>
  <c r="J182" i="1"/>
  <c r="J181" i="1"/>
  <c r="J177" i="1"/>
  <c r="J176" i="1"/>
  <c r="J171" i="1"/>
  <c r="J169" i="1"/>
  <c r="J161" i="1"/>
  <c r="J160" i="1"/>
  <c r="J154" i="1"/>
  <c r="J150" i="1"/>
  <c r="J146" i="1"/>
  <c r="J127" i="1"/>
  <c r="J124" i="1"/>
  <c r="J120" i="1"/>
  <c r="J116" i="1"/>
  <c r="J114" i="1"/>
  <c r="J107" i="1"/>
  <c r="J106" i="1"/>
  <c r="J88" i="1"/>
  <c r="J84" i="1"/>
  <c r="J82" i="1"/>
  <c r="J80" i="1"/>
  <c r="J76" i="1"/>
  <c r="J75" i="1"/>
  <c r="J74" i="1"/>
  <c r="J62" i="1"/>
  <c r="J61" i="1"/>
  <c r="J54" i="1"/>
  <c r="J44" i="1"/>
  <c r="J43" i="1"/>
  <c r="J42" i="1"/>
  <c r="J41" i="1"/>
  <c r="J40" i="1"/>
  <c r="J34" i="1"/>
  <c r="J32" i="1"/>
  <c r="J30" i="1"/>
  <c r="J15" i="1"/>
  <c r="J10" i="1"/>
  <c r="J8" i="1"/>
</calcChain>
</file>

<file path=xl/sharedStrings.xml><?xml version="1.0" encoding="utf-8"?>
<sst xmlns="http://schemas.openxmlformats.org/spreadsheetml/2006/main" count="1053" uniqueCount="367">
  <si>
    <t>Article ID</t>
  </si>
  <si>
    <t>Label</t>
  </si>
  <si>
    <t>Pattern</t>
  </si>
  <si>
    <t>Entity</t>
  </si>
  <si>
    <t>Publish Date</t>
  </si>
  <si>
    <t>Article URL</t>
  </si>
  <si>
    <t>ORG</t>
  </si>
  <si>
    <t>the Board of Environmental Protection</t>
  </si>
  <si>
    <t>https://www.pressherald.com/2023/07/20/environmentalists-petition-state-to-adopt-stronger-clean-vehicle-standards/</t>
  </si>
  <si>
    <t>The Department of Environmental Protection</t>
  </si>
  <si>
    <t>the Sierra Club</t>
  </si>
  <si>
    <t>the Maine Public Health Association</t>
  </si>
  <si>
    <t>the U.S. Environmental Protection Agency</t>
  </si>
  <si>
    <t>The Department of Finance</t>
  </si>
  <si>
    <t>https://www.thejournal.ie/electric-vehicles-cost-1-5b-to-exchequer-6122869-Jul2023/</t>
  </si>
  <si>
    <t>‚Äôs Tax Strategy Group</t>
  </si>
  <si>
    <t>the Civil Service</t>
  </si>
  <si>
    <t>Climate Action and Tax</t>
  </si>
  <si>
    <t>the Society of the Irish Motor Industry</t>
  </si>
  <si>
    <t>the Department of Transport</t>
  </si>
  <si>
    <t>The National Highway Traffic Safety Administration</t>
  </si>
  <si>
    <t>https://www.bizpacreview.com/2023/07/28/americans-had-better-wake-up-biden-admin-fires-next-regulatory-salvo-in-its-push-for-evs-1381535/</t>
  </si>
  <si>
    <t>the Department of Transportation</t>
  </si>
  <si>
    <t>General Motors‚Äôs</t>
  </si>
  <si>
    <t>the Institute for Energy Research</t>
  </si>
  <si>
    <t>the Daily Caller News Foundation</t>
  </si>
  <si>
    <t>the Environmental Protection Agency</t>
  </si>
  <si>
    <t>the Center for Biological Diversity</t>
  </si>
  <si>
    <t>https://www.clickondetroit.com/business/2023/08/06/the-epas-ambitious-plan-to-cut-auto-emissions-to-slow-climate-change-runs-into-skepticism/</t>
  </si>
  <si>
    <t>the Union of Concerned Scientists</t>
  </si>
  <si>
    <t>The Alliance for Automotive Innovation</t>
  </si>
  <si>
    <t>the Massachusetts Institute of Technology</t>
  </si>
  <si>
    <t>Trancik</t>
  </si>
  <si>
    <t>the Hummer EV</t>
  </si>
  <si>
    <t>https://ijr.com/9000-pound-hummer-ev-pollutes-gas-powered-chevy-malibu/</t>
  </si>
  <si>
    <t>the American Council</t>
  </si>
  <si>
    <t>Energy-Efficient Economy</t>
  </si>
  <si>
    <t>Hummer EV</t>
  </si>
  <si>
    <t>the California Air Resources Board</t>
  </si>
  <si>
    <t>https://ijr.com/california-plan-prohibit-sale-gasoline/</t>
  </si>
  <si>
    <t>the European Union</t>
  </si>
  <si>
    <t>https://www.juancole.com/2022/08/california-purchases-electric.html</t>
  </si>
  <si>
    <t>the European Market</t>
  </si>
  <si>
    <t>Merkur Cooperative Bank</t>
  </si>
  <si>
    <t>https://www.naturalnews.com/2022-08-25-bank-australia-stops-loans-fossil-fuel-cars.html</t>
  </si>
  <si>
    <t>Bank Australia's</t>
  </si>
  <si>
    <t>The Electric Vehicle Council</t>
  </si>
  <si>
    <t>National Electric Vehicle Strategy</t>
  </si>
  <si>
    <t>the International Energy Agency</t>
  </si>
  <si>
    <t>TFL Truck</t>
  </si>
  <si>
    <t>Brighteon.com</t>
  </si>
  <si>
    <t>COMMIE</t>
  </si>
  <si>
    <t>the World Trade Organisation</t>
  </si>
  <si>
    <t>https://www.sott.net/article/458183-UK-will-program-electric-car-chargers-to-TURN-OFF-for-9-hours-a-day-amid-fears-demand-will-cause-blackouts</t>
  </si>
  <si>
    <t>The Commons Transport Select Committee</t>
  </si>
  <si>
    <t>the Sunday Times: 'Sometimes</t>
  </si>
  <si>
    <t>Energy and Clean</t>
  </si>
  <si>
    <t>Industrial Strategy</t>
  </si>
  <si>
    <t>Biden‚Äôs</t>
  </si>
  <si>
    <t>#############</t>
  </si>
  <si>
    <t>https://www.pilotonline.com/2021/12/20/biden-boosts-fuel-economy-standards-to-fight-climate-change/</t>
  </si>
  <si>
    <t>Bozella</t>
  </si>
  <si>
    <t>Morgan Folger of Environment America</t>
  </si>
  <si>
    <t>the American Lung Association</t>
  </si>
  <si>
    <t>the U.S. Energy Information Administration</t>
  </si>
  <si>
    <t>https://townhall.com/columnists/samanthadravis/2021/02/17/bidens-electric-vehicle-mandate-wont-necessarily-improve-environmental-outcomes--but-will-raise-energy-costs-n2584796</t>
  </si>
  <si>
    <t>the Manhattan Institute</t>
  </si>
  <si>
    <t>the Biden Administration</t>
  </si>
  <si>
    <t>Biden Administration</t>
  </si>
  <si>
    <t>the Independent Women's Forum</t>
  </si>
  <si>
    <t>Associate Administrator</t>
  </si>
  <si>
    <t>the White House‚Äôs</t>
  </si>
  <si>
    <t>https://www.nationalgeographic.com/environment/article/has-electric-car-moment-arrived-at-last</t>
  </si>
  <si>
    <t>the International Council on Clean Transportation</t>
  </si>
  <si>
    <t>Hummers</t>
  </si>
  <si>
    <t>the Trump Administration</t>
  </si>
  <si>
    <t>Evergreen Action</t>
  </si>
  <si>
    <t>the Trump Administration‚Äôs</t>
  </si>
  <si>
    <t>https://www.radioiowa.com/2021/01/26/iowa-biofuels-industry-preps-for-shift-to-electric-vehicles/</t>
  </si>
  <si>
    <t>the Iowa Corn Growers Association</t>
  </si>
  <si>
    <t>the Environmental Protection Agency‚Äôs</t>
  </si>
  <si>
    <t>https://redstate.com/redstate-guest-editorial/2024/05/10/epas-groundbreaking-regulations-a-comprehensive-shift-in-heavy-duty-truck-emissions-standards-n2173665</t>
  </si>
  <si>
    <t>Safety and Compliance at Zonar Systems</t>
  </si>
  <si>
    <t>Fakkema</t>
  </si>
  <si>
    <t>the American Trucking Associations</t>
  </si>
  <si>
    <t>the Environmental Protection Agency's</t>
  </si>
  <si>
    <t>Engine Technology Forum</t>
  </si>
  <si>
    <t>the Minnesota Pollution Control Agency</t>
  </si>
  <si>
    <t>https://freebeacon.com/democrats/tim-walz-rammed-a-california-style-ev-mandate-into-law-without-consulting-minnesotas-legislature/</t>
  </si>
  <si>
    <t>Advanced Clean Cars</t>
  </si>
  <si>
    <t>Harris-Walz</t>
  </si>
  <si>
    <t>the Minnesota Center for Environmental Advocacy</t>
  </si>
  <si>
    <t>the Minnesota Auto Dealers Association</t>
  </si>
  <si>
    <t>Minnesota Auto Dealers Association</t>
  </si>
  <si>
    <t>The U.S. Supreme Court</t>
  </si>
  <si>
    <t>the Free Beacon</t>
  </si>
  <si>
    <t>Alliance for Automotive Innovation</t>
  </si>
  <si>
    <t>the House Energy and Commerce Committee</t>
  </si>
  <si>
    <t>https://wtop.com/business-finance/2024/09/house-backs-measure-to-overturn-biden-auto-emissions-rule-that-republicans-say-would-force-ev-sales/</t>
  </si>
  <si>
    <t>Clean Freight Coalition</t>
  </si>
  <si>
    <t>https://www.zerohedge.com/political/transitioning-fleet-trucks-electric-raises-costs-114-percent-report-warns</t>
  </si>
  <si>
    <t>Independent Drivers Association</t>
  </si>
  <si>
    <t>Atlas Public Policy</t>
  </si>
  <si>
    <t>PITT OHIO</t>
  </si>
  <si>
    <t>The American Transportation Research Institute</t>
  </si>
  <si>
    <t>The Biden Environmental Protection Agency</t>
  </si>
  <si>
    <t>https://www.commondreams.org/news/biden-electric-vehicle-push</t>
  </si>
  <si>
    <t>Safe Climate Transport Campaign</t>
  </si>
  <si>
    <t>The Washington Postreported</t>
  </si>
  <si>
    <t>the U.S. Climate Alliance</t>
  </si>
  <si>
    <t>https://whyy.org/articles/delaware-ban-gas-powered-cars-2035/</t>
  </si>
  <si>
    <t>the Department of Natural Resources and Environmental Control</t>
  </si>
  <si>
    <t>the U.S. Census</t>
  </si>
  <si>
    <t>Regional Air Council</t>
  </si>
  <si>
    <t>https://www.hngn.com/articles/248119/20230427/colorado-considers-banning-gas-powered-lawn-equipment-following-californias-lead.htm</t>
  </si>
  <si>
    <t>the U.S. Department of Energy</t>
  </si>
  <si>
    <t>https://www.ecowatch.com/conventional-cars-to-evs.html</t>
  </si>
  <si>
    <t>the San-Diego</t>
  </si>
  <si>
    <t>Zelectric Motors</t>
  </si>
  <si>
    <t>Porsches</t>
  </si>
  <si>
    <t>KTSM 9 News</t>
  </si>
  <si>
    <t>the Rhodium Group</t>
  </si>
  <si>
    <t>the European Council</t>
  </si>
  <si>
    <t>https://www.theepochtimes.com/world/europe-to-ban-sale-of-new-gasoline-cars-from-2035-5157098</t>
  </si>
  <si>
    <t>Experian Automotive</t>
  </si>
  <si>
    <t>https://theweek.com/electric-vehicles/1019895/is-2023-the-year-of-the-ev</t>
  </si>
  <si>
    <t>The United Nations</t>
  </si>
  <si>
    <t>the Southern Alliance for Clean Energy</t>
  </si>
  <si>
    <t>Eclipse Ventures</t>
  </si>
  <si>
    <t>Wind Ventures</t>
  </si>
  <si>
    <t>LMC Automotive</t>
  </si>
  <si>
    <t>https://www.pbs.org/newshour/nation/epa-sets-strict-new-pollution-limit-aiming-to-boost-electric-vehicle-sales</t>
  </si>
  <si>
    <t>The Associated Press-NORC Center for Public Affairs Research</t>
  </si>
  <si>
    <t>the Energy Policy Institute</t>
  </si>
  <si>
    <t>the University of Chicago</t>
  </si>
  <si>
    <t>the Natural Resources Defense Council</t>
  </si>
  <si>
    <t>the Treasury Department</t>
  </si>
  <si>
    <t>the House Oversight Committee</t>
  </si>
  <si>
    <t>https://www.local10.com/news/politics/2022/03/14/house-dems-seek-probe-of-usps-plan-for-new-mail-truck-fleet/</t>
  </si>
  <si>
    <t>U.S. Postal Service</t>
  </si>
  <si>
    <t>the National Environmental Policy Act</t>
  </si>
  <si>
    <t>Oshkosh Defense</t>
  </si>
  <si>
    <t>the White House Council on Environmental Quality</t>
  </si>
  <si>
    <t>the Next Generation Delivery Vehicles</t>
  </si>
  <si>
    <t>USPS</t>
  </si>
  <si>
    <t>DeJoy</t>
  </si>
  <si>
    <t>the Safe Climate Transport Center</t>
  </si>
  <si>
    <t>https://www.wtae.com/article/vehicle-mpg-requirement-by-2026/39614086</t>
  </si>
  <si>
    <t>Society of Motor Manufacturers</t>
  </si>
  <si>
    <t>https://www.theverge.com/2022/2/4/22917801/emissions-new-cars-record-low-uk-electric-vehicles</t>
  </si>
  <si>
    <t>SMMT</t>
  </si>
  <si>
    <t>The United States Postal Service</t>
  </si>
  <si>
    <t>https://www.theverge.com/2022/2/23/22947717/usps-biden-dejoy-electric-mail-trucks-reject-oshkosh</t>
  </si>
  <si>
    <t>White House Council on Environmental Quality</t>
  </si>
  <si>
    <t>the Postal Service‚Äôs</t>
  </si>
  <si>
    <t>The Zero Emission Transportation Association</t>
  </si>
  <si>
    <t>Tesla, Uber</t>
  </si>
  <si>
    <t>the Biden Administration‚Äôs</t>
  </si>
  <si>
    <t>https://gizmodo.com/postmaster-general-says-gas-guzzling-mail-trucks-are-he-1848493020</t>
  </si>
  <si>
    <t>the Biden Administration‚Äôs Build Back Better Act</t>
  </si>
  <si>
    <t>Build Back Better</t>
  </si>
  <si>
    <t>the Government Accountability Office</t>
  </si>
  <si>
    <t>Data or Progress</t>
  </si>
  <si>
    <t>Georg Bieker</t>
  </si>
  <si>
    <t>https://www.eastbaytimes.com/2021/08/08/sponsored-green-rides-new-study-confirms-environmental-superiority-of-electric-vehicles/</t>
  </si>
  <si>
    <t>the Nevada Legislature</t>
  </si>
  <si>
    <t>https://lasvegassun.com//news/2021/aug/27/investing-in-electric-vehicles-vital-for-nevada/</t>
  </si>
  <si>
    <t>the Regional Transportation Commission of Southern Nevada</t>
  </si>
  <si>
    <t>the latest Department of Transportation</t>
  </si>
  <si>
    <t>https://www.forbes.com/sites/miltonezrati/2021/07/25/batteries-are-the-next-environmental-challenge/</t>
  </si>
  <si>
    <t>the Beijing Institute of Technology</t>
  </si>
  <si>
    <t>the Chinese Communist Party</t>
  </si>
  <si>
    <t>the Toyota Camry or Rav4</t>
  </si>
  <si>
    <t>https://www.smh.com.au/politics/federal/like-cuba-australia-may-soon-be-awash-with-cheap-luxury-cars-but-it-will-be-costly-20210521-p57ty4.html</t>
  </si>
  <si>
    <t>ClimateWorks Australia</t>
  </si>
  <si>
    <t>the Federal Chamber of Automotive Industries</t>
  </si>
  <si>
    <t>the MG ZS</t>
  </si>
  <si>
    <t>the Eindhoven University of Technology</t>
  </si>
  <si>
    <t>https://www.foxbusiness.com/technology/dutch-students-create-carbon-eating-electric-vehicle</t>
  </si>
  <si>
    <t>GreenLatinos</t>
  </si>
  <si>
    <t>https://newsone.com/4417283/black-people-electric-cars/</t>
  </si>
  <si>
    <t>EVNoire</t>
  </si>
  <si>
    <t>nonpartisan research organization</t>
  </si>
  <si>
    <t>Black and Latino</t>
  </si>
  <si>
    <t>California Environmental Voters</t>
  </si>
  <si>
    <t>https://ktvz.com/news/ap-national-news/2022/10/16/tax-the-rich-for-more-evs-california-democrats-split-2/</t>
  </si>
  <si>
    <t>the California Teachers Association</t>
  </si>
  <si>
    <t>the California Chamber of Commerce</t>
  </si>
  <si>
    <t>Legislative Analyst‚Äôs Office</t>
  </si>
  <si>
    <t>the California Democratic Party</t>
  </si>
  <si>
    <t>the Clean Air Coalition</t>
  </si>
  <si>
    <t>the Coalition for Clean Air</t>
  </si>
  <si>
    <t>Northwestern University‚Äôs Kellogg School of Management</t>
  </si>
  <si>
    <t>https://jalopnik.com/elon-musk-is-turning-off-would-be-tesla-buyers-1851378245</t>
  </si>
  <si>
    <t>CivicScience</t>
  </si>
  <si>
    <t>AutoPacific</t>
  </si>
  <si>
    <t>Manufacturers Association</t>
  </si>
  <si>
    <t>Daimler Truck</t>
  </si>
  <si>
    <t>Nissan Team</t>
  </si>
  <si>
    <t>the Nissan Frontier</t>
  </si>
  <si>
    <t>Nissan EV</t>
  </si>
  <si>
    <t>The U.S. Postal Service</t>
  </si>
  <si>
    <t>https://madison.com/mail-carriers-roll-out-electric-vans/article_20f9534d-b3ba-55ff-b579-d6cdaa60001f.html</t>
  </si>
  <si>
    <t>the South Atlanta Sorting</t>
  </si>
  <si>
    <t>Delivery Center</t>
  </si>
  <si>
    <t>the federal department's</t>
  </si>
  <si>
    <t>deliverer</t>
  </si>
  <si>
    <t>the Grumman Long Life Vehicle</t>
  </si>
  <si>
    <t>Next Generation Delivery Vehicles</t>
  </si>
  <si>
    <t>the U.S. Court of Appeals</t>
  </si>
  <si>
    <t>https://www.foxnews.com/politics/25-states-hit-biden-admin-legal-challenge-climate-crackdown-gas-cars</t>
  </si>
  <si>
    <t>the D.C. Circuit</t>
  </si>
  <si>
    <t>Fox News Digital</t>
  </si>
  <si>
    <t>Kentucky Agriculture</t>
  </si>
  <si>
    <t>the Kentucky Department of Agriculture‚Äôs</t>
  </si>
  <si>
    <t>the National Corn Growers Association</t>
  </si>
  <si>
    <t>the American Fuel &amp; Petrochemical</t>
  </si>
  <si>
    <t>the American Petroleum Institute</t>
  </si>
  <si>
    <t>The Natural Resources Council of Maine</t>
  </si>
  <si>
    <t>https://www.pressherald.com/2024/03/10/opinion-stronger-clean-car-standards-expand-consumer-choice-reduce-air-pollution/</t>
  </si>
  <si>
    <t>the Advanced Clean Cars II</t>
  </si>
  <si>
    <t>the Maine Legislature</t>
  </si>
  <si>
    <t>the Maine Department of Transportation and Efficiency Maine</t>
  </si>
  <si>
    <t>the Senate Environment and Public Works Committee</t>
  </si>
  <si>
    <t>https://www.washingtontimes.com/news/2024/apr/5/joe-bidens-climate-change-rules-cost-nearing-1-tri/?utm_source=RSS_Feed&amp;utm_medium=RSS</t>
  </si>
  <si>
    <t>Brighteon.io</t>
  </si>
  <si>
    <t>https://www.naturalnews.com/2024-03-29-8-states-ban-sales-gas-cars-2032.html</t>
  </si>
  <si>
    <t>Brighteon</t>
  </si>
  <si>
    <t>HealthRangerStore.com</t>
  </si>
  <si>
    <t>Consumer Reports'</t>
  </si>
  <si>
    <t>the Health Ranger Report</t>
  </si>
  <si>
    <t>EV SPY: Electric</t>
  </si>
  <si>
    <t>Ford Motor Co.‚Äôs</t>
  </si>
  <si>
    <t>https://qz.com/ev-electric-car-california-charging-gas-stations-newsom-1851441960</t>
  </si>
  <si>
    <t>JD Power</t>
  </si>
  <si>
    <t>Tesla‚Äôs North American Charging Standard</t>
  </si>
  <si>
    <t>NACS</t>
  </si>
  <si>
    <t>Tesla Superchargers</t>
  </si>
  <si>
    <t>Federal Chamber of Automotive Industries</t>
  </si>
  <si>
    <t>https://www.smh.com.au/environment/climate-change/internal-documents-suggest-car-lobby-is-over-egging-price-hikes-20240221-p5f6mf.html?ref=rss&amp;utm_medium=rss&amp;utm_source=rss_feed</t>
  </si>
  <si>
    <t>FCAI</t>
  </si>
  <si>
    <t>EV Council</t>
  </si>
  <si>
    <t>S&amp;P Global Research</t>
  </si>
  <si>
    <t>the EV Council</t>
  </si>
  <si>
    <t>the board + environmental protection</t>
  </si>
  <si>
    <t>does not found exactly the same name, might be the public helth department of Maine medical association</t>
  </si>
  <si>
    <t>should It be further clear as US… or state…?</t>
  </si>
  <si>
    <t>encoding</t>
  </si>
  <si>
    <t>should be further define</t>
  </si>
  <si>
    <t>exist, but didn't find individual entry in wikidata</t>
  </si>
  <si>
    <t>seems to be the last name, but not specified</t>
  </si>
  <si>
    <t>most relevant entry in wikidata is the GMC Hummer EV, which is defined as electric vehicle</t>
  </si>
  <si>
    <t>repeated with line24</t>
  </si>
  <si>
    <t>should not be the name of organization</t>
  </si>
  <si>
    <t>didn't find entry in wikidata, but could be searched in Google</t>
  </si>
  <si>
    <t>name ambiguity</t>
  </si>
  <si>
    <t>didn't find entry in wikidata, but has Instagram account with same name</t>
  </si>
  <si>
    <t>need further define</t>
  </si>
  <si>
    <t>name ambiguity (the most relevant entry found on wikidata does not have "Commons"</t>
  </si>
  <si>
    <t>might be encoding problem, or does not exist at all</t>
  </si>
  <si>
    <t>should not be the name of organization, or could be further define</t>
  </si>
  <si>
    <t>should not be the name of organization, or could be further define (Industrial Strategy Council)</t>
  </si>
  <si>
    <t>"Environment America" should be the organization name</t>
  </si>
  <si>
    <t>should be further define/not be considered as an organization name</t>
  </si>
  <si>
    <t>repeated with line50</t>
  </si>
  <si>
    <t>should be a title instead of organization name</t>
  </si>
  <si>
    <t>same problem with line 50&amp;51</t>
  </si>
  <si>
    <t>didn't find entry in wikidata, but has LinkedIn account, is a non-profit</t>
  </si>
  <si>
    <t>not find in wikidata entry, but could find on Google</t>
  </si>
  <si>
    <t>does not exist/a last name but need further define</t>
  </si>
  <si>
    <t>repeated with line71</t>
  </si>
  <si>
    <t>not find in wikidata entry, but could find similar name on Google (a news website)</t>
  </si>
  <si>
    <t>name ambiguity, but could find similar name on wikidata</t>
  </si>
  <si>
    <t>name ambiguity (the most relevant entry found on wikidata has prefix "Owner-Operator")</t>
  </si>
  <si>
    <t>not an organization</t>
  </si>
  <si>
    <t>name ambiguity (9)</t>
  </si>
  <si>
    <t>not find in wikidata entry, but could find on LinkedIn</t>
  </si>
  <si>
    <t>name ambiguity (Department of the Treasury/U.S. ...)</t>
  </si>
  <si>
    <t>seems not an organization</t>
  </si>
  <si>
    <t>name ambiguity (+and Traders)</t>
  </si>
  <si>
    <t>repeated with line108</t>
  </si>
  <si>
    <t>repeated with line111</t>
  </si>
  <si>
    <t>an initiative, not org, not exist</t>
  </si>
  <si>
    <t>name ambiguity (similar name in wikidata is called "Data for Progress", it's a think tank)</t>
  </si>
  <si>
    <t>a name, not org, not exist</t>
  </si>
  <si>
    <t>wrong classification</t>
  </si>
  <si>
    <t>should be separate into 2 org</t>
  </si>
  <si>
    <t>might delete the prefix "the latest"</t>
  </si>
  <si>
    <t>recognitive error</t>
  </si>
  <si>
    <t>might delete "Australia"</t>
  </si>
  <si>
    <t>entry on wikidata is "Coalition for Clean Air"</t>
  </si>
  <si>
    <t>recognitive error, complete should be "The Truck and Engine Manufacturers Association"</t>
  </si>
  <si>
    <t>entry on wikidata is "Grumman LLV"</t>
  </si>
  <si>
    <t>need further define (same with line166)</t>
  </si>
  <si>
    <t>name ambiguity (+and Manufacturers)</t>
  </si>
  <si>
    <t>same as above</t>
  </si>
  <si>
    <t>name ambiguity (should delete ')</t>
  </si>
  <si>
    <t>Should Exist</t>
  </si>
  <si>
    <t>Should Exist (U.S. Department of Transportation)</t>
  </si>
  <si>
    <t xml:space="preserve">	
Should Exist, but full name might be American Council for an Energy-Efficient Economy</t>
  </si>
  <si>
    <t>Should Exist,but without suffix "s"</t>
  </si>
  <si>
    <t>Category</t>
  </si>
  <si>
    <t>Count</t>
  </si>
  <si>
    <t>Name Ambiguity</t>
  </si>
  <si>
    <t>Encoding Issue</t>
  </si>
  <si>
    <t>Wrong Classification</t>
  </si>
  <si>
    <t>Proportion (%)</t>
  </si>
  <si>
    <t>Problem with “the”</t>
  </si>
  <si>
    <t>still wasn't find after remove "the"</t>
  </si>
  <si>
    <t>the linked name on wikidata is "United States Census"</t>
  </si>
  <si>
    <t>the linked name on wikidata is "Supreme Court of the United States"</t>
  </si>
  <si>
    <t>the linked name on wikidata is "KTSM"</t>
  </si>
  <si>
    <t>the linked name on wikidata is "2012 VP113", which is a the number of a trans-Neptunian object named Biden, so still hold the opition that this entity should be encoding issue</t>
  </si>
  <si>
    <t>the linked name on wikidata is "Communist Party of China"</t>
  </si>
  <si>
    <t>the linked name on wikidata is "Toyota"</t>
  </si>
  <si>
    <t>the linked name on wikidata is "MG ZS SUV"</t>
  </si>
  <si>
    <t>the linked name on wikidata is "Nissan Navara", which is incorrect. And there does exist the entity of Nissan Frontier, which means the linking pipeline itself has linking issue</t>
  </si>
  <si>
    <t>the linked name on wikidata is "United States courts of appeals", solve abbreviation problem itself when linking</t>
  </si>
  <si>
    <t>the linked name on wikidata is "United States Court of Appeals for the District of Columbia Circuit"</t>
  </si>
  <si>
    <t>related entity shows on wikidata is "Iowa Corn Growers Association and Iowa Corn Promotion Board", so this could be further categorized as name ambituity</t>
  </si>
  <si>
    <t>could be exist without "'s"</t>
  </si>
  <si>
    <t>related name on wikidata is "United States Climate Alliance", which requires full name of "the U.S.". However, in row 73, for entity "The U.S. Supreme Court" which has same problem of having leading "the" and abbreviation of "the U.S.",  entity 73 was correctly linked simply after removing "the", this also shows the instability of pipeline workflow</t>
  </si>
  <si>
    <t>same problem of failed linking with row 85</t>
  </si>
  <si>
    <t>same problem with row 70</t>
  </si>
  <si>
    <t>same problem of failed linking with row 70</t>
  </si>
  <si>
    <t>could be found on google, is a company, but has no entry in wikidata</t>
  </si>
  <si>
    <t>not find on wikidata, can't be searched on dbpedia</t>
  </si>
  <si>
    <t>Abbreviation</t>
  </si>
  <si>
    <t>abbreviation, need full name</t>
  </si>
  <si>
    <t>related name in wikidata is "United States Government Accountability Office", so this entity could be further categorized as Name Ambiguity</t>
  </si>
  <si>
    <t>could be found on wikidata without "s" at the end</t>
  </si>
  <si>
    <t>is a website that can be found on google, not name of a organization</t>
  </si>
  <si>
    <t>a company that can be searched on google</t>
  </si>
  <si>
    <t>not find on wikidata, but can be searched on dbpedia</t>
  </si>
  <si>
    <t>based on the original text, it might have "Maine…" in the front; or it could be devided as the department (not specified) + environmental protection</t>
  </si>
  <si>
    <t>abbreviation, same problem with row 108</t>
  </si>
  <si>
    <t>abbreviation, repeated with row 108&amp;113</t>
  </si>
  <si>
    <t>a website, instead of org</t>
  </si>
  <si>
    <t>name ambiguity (corresponding entry on wikidata is "The Health Ranger Report", with "T" capitalized)</t>
  </si>
  <si>
    <t>the linked name on wikidata is "Ford Motor Company", but the original entity actually has no "the" within it (means the refining step should have no effect on this entity; This automatic fixing might be a provenance that the pipeline exhibits instability and a certain degree of randomness.</t>
  </si>
  <si>
    <t>is a standard (policy)(North American Charging Standard), not org</t>
  </si>
  <si>
    <t>is the electric vehicle fast-charging stalls set by Tesla, not org</t>
  </si>
  <si>
    <t>abbreviation, repeated with row 189</t>
  </si>
  <si>
    <t>abbreviation issue; not find in wikidata entry, but could find on Google</t>
  </si>
  <si>
    <t>abbreviation, same as line191</t>
  </si>
  <si>
    <t>same problem with row 70 (has corresponding entry on wikidata without "The", but still wasn't successfully linked)</t>
  </si>
  <si>
    <t>same problem with row 70 (has corresponding entry on wikidata without "the", but still wasn't successfully linked)</t>
  </si>
  <si>
    <t>should be further defined (e.g. United States Environmental Protection Agency)</t>
  </si>
  <si>
    <t>the linked entry on wikidata is "presidency of Donald Trump", which does not match with original entity</t>
  </si>
  <si>
    <t>the linked entry on wikidata is "environment ministry"</t>
  </si>
  <si>
    <t>the related entry on wikidata is "Environmental Protection Agency", so this could be further categorized as Name Ambiguity</t>
  </si>
  <si>
    <t>the linked name on wikidata is "Donald Trump"</t>
  </si>
  <si>
    <t>Possible reason (original assumption)</t>
  </si>
  <si>
    <t>Notes &amp; Further analysis</t>
  </si>
  <si>
    <t>duplicate with line 71</t>
  </si>
  <si>
    <t>a program not org</t>
  </si>
  <si>
    <t>full name in original text is "The Harris-Walz campaign"</t>
  </si>
  <si>
    <t>Wrong Match</t>
  </si>
  <si>
    <t>Name Ambiguity (Abbreviation Issue)</t>
  </si>
  <si>
    <t>related entity shows on wikidata is "World Trade Organization", so this could be further categorized as name ambituity (spelling)</t>
  </si>
  <si>
    <t>After the step of removing "the"</t>
  </si>
  <si>
    <t>Further Categorization</t>
  </si>
  <si>
    <t>Initial Categorization</t>
  </si>
  <si>
    <t>Unlinked After Article Removal (Should Exist)</t>
  </si>
  <si>
    <t>Problem with “The/the”</t>
  </si>
  <si>
    <t>5/28 (17.86%) of which could be found on dbpedia</t>
  </si>
  <si>
    <t>Not Found in Wikidata, but Exists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</si>
</sst>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sz val="14"/>
      <color theme="1"/>
      <name val="Aptos Narrow"/>
      <family val="2"/>
      <scheme val="minor"/>
    </font>
    <font>
      <b/>
      <sz val="14"/>
      <color theme="1"/>
      <name val="Aptos Narrow"/>
      <family val="2"/>
      <scheme val="minor"/>
    </font>
    <font>
      <sz val="12"/>
      <color theme="1"/>
      <name val="Aptos"/>
    </font>
    <font>
      <sz val="12"/>
      <color rgb="FF000000"/>
      <name val="Aptos Narrow"/>
      <family val="2"/>
      <scheme val="minor"/>
    </font>
    <font>
      <b/>
      <sz val="12"/>
      <color theme="1"/>
      <name val="Aptos Narrow"/>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
      <patternFill patternType="solid">
        <fgColor theme="5"/>
        <bgColor indexed="64"/>
      </patternFill>
    </fill>
    <fill>
      <patternFill patternType="solid">
        <fgColor theme="9" tint="0.59999389629810485"/>
        <bgColor indexed="64"/>
      </patternFill>
    </fill>
    <fill>
      <patternFill patternType="solid">
        <fgColor rgb="FFB5E6A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rgb="FFFFC000"/>
        <bgColor rgb="FF000000"/>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1">
    <xf numFmtId="0" fontId="0" fillId="0" borderId="0" xfId="0"/>
    <xf numFmtId="22" fontId="0" fillId="0" borderId="0" xfId="0" applyNumberFormat="1"/>
    <xf numFmtId="0" fontId="18" fillId="0" borderId="0" xfId="42"/>
    <xf numFmtId="0" fontId="0" fillId="33" borderId="0" xfId="0" applyFill="1"/>
    <xf numFmtId="0" fontId="19" fillId="0" borderId="0" xfId="0" applyFont="1"/>
    <xf numFmtId="10" fontId="19" fillId="0" borderId="0" xfId="0" applyNumberFormat="1" applyFont="1"/>
    <xf numFmtId="0" fontId="20" fillId="0" borderId="0" xfId="0" applyFont="1"/>
    <xf numFmtId="0" fontId="0" fillId="34" borderId="0" xfId="0" applyFill="1"/>
    <xf numFmtId="0" fontId="0" fillId="35" borderId="0" xfId="0" applyFill="1"/>
    <xf numFmtId="0" fontId="21" fillId="0" borderId="0" xfId="0" applyFont="1"/>
    <xf numFmtId="0" fontId="21" fillId="33" borderId="0" xfId="0" applyFont="1" applyFill="1"/>
    <xf numFmtId="0" fontId="0" fillId="36" borderId="0" xfId="0" applyFill="1"/>
    <xf numFmtId="0" fontId="22" fillId="0" borderId="0" xfId="0" applyFont="1"/>
    <xf numFmtId="0" fontId="0" fillId="37" borderId="0" xfId="0" applyFill="1"/>
    <xf numFmtId="0" fontId="0" fillId="38" borderId="0" xfId="0" applyFill="1"/>
    <xf numFmtId="0" fontId="0" fillId="0" borderId="0" xfId="0" applyAlignment="1">
      <alignment vertical="top"/>
    </xf>
    <xf numFmtId="0" fontId="23" fillId="0" borderId="0" xfId="0" applyFont="1"/>
    <xf numFmtId="0" fontId="0" fillId="39" borderId="0" xfId="0" applyFill="1"/>
    <xf numFmtId="0" fontId="0" fillId="40" borderId="0" xfId="0" applyFill="1"/>
    <xf numFmtId="0" fontId="0" fillId="41" borderId="0" xfId="0" applyFill="1"/>
    <xf numFmtId="0" fontId="22" fillId="42"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B5E6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thejournal.ie/electric-vehicles-cost-1-5b-to-exchequer-6122869-Jul2023/" TargetMode="External"/><Relationship Id="rId1" Type="http://schemas.openxmlformats.org/officeDocument/2006/relationships/hyperlink" Target="https://www.pressherald.com/2023/07/20/environmentalists-petition-state-to-adopt-stronger-clean-vehicle-standar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C545E-16E1-064B-9AA3-A319A10BBCBE}">
  <dimension ref="A1:M193"/>
  <sheetViews>
    <sheetView topLeftCell="C1" zoomScale="91" zoomScaleNormal="116" workbookViewId="0">
      <selection activeCell="J1" sqref="J1:J1048576"/>
    </sheetView>
  </sheetViews>
  <sheetFormatPr baseColWidth="10" defaultRowHeight="16" x14ac:dyDescent="0.2"/>
  <cols>
    <col min="3" max="3" width="39.83203125" customWidth="1"/>
    <col min="4" max="4" width="16.33203125" customWidth="1"/>
    <col min="5" max="5" width="12.5" bestFit="1" customWidth="1"/>
    <col min="8" max="8" width="20.5" customWidth="1"/>
    <col min="9" max="9" width="25.83203125" customWidth="1"/>
    <col min="10" max="10" width="28.5" customWidth="1"/>
    <col min="11" max="11" width="19.5" customWidth="1"/>
    <col min="12" max="12" width="19" customWidth="1"/>
    <col min="13" max="14" width="11" bestFit="1" customWidth="1"/>
  </cols>
  <sheetData>
    <row r="1" spans="1:13" x14ac:dyDescent="0.2">
      <c r="A1" t="s">
        <v>0</v>
      </c>
      <c r="B1" t="s">
        <v>1</v>
      </c>
      <c r="C1" t="s">
        <v>2</v>
      </c>
      <c r="D1" t="s">
        <v>3</v>
      </c>
      <c r="E1" t="s">
        <v>4</v>
      </c>
      <c r="F1" t="s">
        <v>5</v>
      </c>
      <c r="G1" s="16" t="s">
        <v>352</v>
      </c>
      <c r="J1" s="16" t="s">
        <v>362</v>
      </c>
      <c r="K1" s="16" t="s">
        <v>360</v>
      </c>
      <c r="L1" s="16" t="s">
        <v>353</v>
      </c>
      <c r="M1" s="16" t="s">
        <v>361</v>
      </c>
    </row>
    <row r="2" spans="1:13" x14ac:dyDescent="0.2">
      <c r="A2">
        <v>2784</v>
      </c>
      <c r="B2" t="s">
        <v>6</v>
      </c>
      <c r="C2" t="s">
        <v>7</v>
      </c>
      <c r="D2" s="1">
        <v>45128.029861111114</v>
      </c>
      <c r="E2" t="s">
        <v>8</v>
      </c>
      <c r="G2" t="s">
        <v>244</v>
      </c>
      <c r="J2" s="14" t="s">
        <v>303</v>
      </c>
    </row>
    <row r="3" spans="1:13" x14ac:dyDescent="0.2">
      <c r="A3">
        <v>2784</v>
      </c>
      <c r="B3" t="s">
        <v>6</v>
      </c>
      <c r="C3" t="s">
        <v>9</v>
      </c>
      <c r="D3" s="1">
        <v>45128.029861111114</v>
      </c>
      <c r="E3" t="s">
        <v>8</v>
      </c>
      <c r="G3" t="s">
        <v>334</v>
      </c>
      <c r="J3" s="3" t="s">
        <v>307</v>
      </c>
      <c r="K3" s="9" t="s">
        <v>349</v>
      </c>
      <c r="M3" s="18" t="s">
        <v>357</v>
      </c>
    </row>
    <row r="4" spans="1:13" x14ac:dyDescent="0.2">
      <c r="A4">
        <v>2784</v>
      </c>
      <c r="B4" t="s">
        <v>6</v>
      </c>
      <c r="C4" t="s">
        <v>10</v>
      </c>
      <c r="E4" s="1">
        <v>45128.029861111114</v>
      </c>
      <c r="F4" t="s">
        <v>8</v>
      </c>
      <c r="G4" s="9" t="s">
        <v>307</v>
      </c>
      <c r="J4" s="10" t="s">
        <v>307</v>
      </c>
    </row>
    <row r="5" spans="1:13" x14ac:dyDescent="0.2">
      <c r="A5">
        <v>2784</v>
      </c>
      <c r="B5" t="s">
        <v>6</v>
      </c>
      <c r="C5" t="s">
        <v>11</v>
      </c>
      <c r="D5" s="1">
        <v>45128.029861111114</v>
      </c>
      <c r="E5" s="2" t="s">
        <v>8</v>
      </c>
      <c r="G5" t="s">
        <v>245</v>
      </c>
      <c r="J5" s="14" t="s">
        <v>303</v>
      </c>
    </row>
    <row r="6" spans="1:13" x14ac:dyDescent="0.2">
      <c r="A6">
        <v>2784</v>
      </c>
      <c r="B6" t="s">
        <v>6</v>
      </c>
      <c r="C6" t="s">
        <v>12</v>
      </c>
      <c r="D6" s="1">
        <v>45128.029861111114</v>
      </c>
      <c r="E6" t="s">
        <v>8</v>
      </c>
      <c r="G6" t="s">
        <v>297</v>
      </c>
      <c r="J6" s="10" t="s">
        <v>307</v>
      </c>
      <c r="K6" s="11" t="s">
        <v>308</v>
      </c>
      <c r="L6" t="s">
        <v>350</v>
      </c>
      <c r="M6" s="14" t="s">
        <v>303</v>
      </c>
    </row>
    <row r="7" spans="1:13" x14ac:dyDescent="0.2">
      <c r="A7">
        <v>3839</v>
      </c>
      <c r="B7" t="s">
        <v>6</v>
      </c>
      <c r="C7" t="s">
        <v>13</v>
      </c>
      <c r="E7" s="1">
        <v>45126.695833333331</v>
      </c>
      <c r="F7" t="s">
        <v>14</v>
      </c>
      <c r="G7" t="s">
        <v>246</v>
      </c>
      <c r="J7" s="3" t="s">
        <v>307</v>
      </c>
    </row>
    <row r="8" spans="1:13" x14ac:dyDescent="0.2">
      <c r="A8">
        <v>3839</v>
      </c>
      <c r="B8" t="s">
        <v>6</v>
      </c>
      <c r="C8" t="s">
        <v>15</v>
      </c>
      <c r="E8" s="1">
        <v>45126.695833333331</v>
      </c>
      <c r="F8" t="s">
        <v>14</v>
      </c>
      <c r="G8" t="s">
        <v>247</v>
      </c>
      <c r="J8" t="str">
        <f>IFERROR(
  IF(OR(ISNUMBER(SEARCH("should be existed", G8)), ISNUMBER(SEARCH("should exist", G8)), ISNUMBER(SEARCH("should be in wikidata", G8)), ISNUMBER(SEARCH("exists", G8))), "Should Exist",
  IF(OR(ISNUMBER(SEARCH("need further define", G8)), ISNUMBER(SEARCH("should be further define", G8)), ISNUMBER(SEARCH("unclear", G8)), ISNUMBER(SEARCH("prefix", G8)), ISNUMBER(SEARCH("incomplete", G8))), "Need Clarification",
  IF(OR(ISNUMBER(SEARCH("encoding", G8)), ISNUMBER(SEARCH("‚Ä", G8)), ISNUMBER(SEARCH("â€™", G8)), ISNUMBER(SEARCH("apostrophe", G8)), ISNUMBER(SEARCH("character", G8))), "Encoding Issue",
  IF(OR(ISNUMBER(SEARCH("not an organization", G8)), ISNUMBER(SEARCH("not org", G8)), ISNUMBER(SEARCH("title", G8)), ISNUMBER(SEARCH("initiative", G8)), ISNUMBER(SEARCH("not be considered", G8))), "Not an Organization",
  IF(OR(ISNUMBER(SEARCH("ambiguity", G8)), ISNUMBER(SEARCH("generic", G8)), ISNUMBER(SEARCH("common", G8)), ISNUMBER(SEARCH("similar name", G8))), "Name Ambiguity",
  IF(OR(ISNUMBER(SEARCH("abbreviation", G8)), ISNUMBER(SEARCH("short form", G8)), ISNUMBER(SEARCH("acronym", G8)), ISNUMBER(SEARCH("'s", G8)), ISNUMBER(SEARCH("variant", G8))), "Abbreviation Issue",
  IF(OR(ISNUMBER(SEARCH("does not exist", G8)), ISNUMBER(SEARCH("cannot find", G8)), ISNUMBER(SEARCH("no entry", G8)), ISNUMBER(SEARCH("not found", G8)), ISNUMBER(SEARCH("no such organization", G8))), "Does Not Exist",
  IF(OR(ISNUMBER(SEARCH("wrong classification", G8)), ISNUMBER(SEARCH("misidentified", G8)), ISNUMBER(SEARCH("recognitive error", G8)), ISNUMBER(SEARCH("should not", G8))), "Wrong Classification",
  IF(OR(ISNUMBER(SEARCH("repeated", G8)), ISNUMBER(SEARCH("duplicate", G8))), "Duplicated",
  IF(OR(ISNUMBER(SEARCH("split", G8)), ISNUMBER(SEARCH("separate into 2", G8)), ISNUMBER(SEARCH("contains 2 org", G8))), "Split Needed", "not find on wikidata, but exist")))))))))),"not find on wikidata, but exist")</f>
        <v>Encoding Issue</v>
      </c>
    </row>
    <row r="9" spans="1:13" x14ac:dyDescent="0.2">
      <c r="A9">
        <v>3839</v>
      </c>
      <c r="B9" t="s">
        <v>6</v>
      </c>
      <c r="C9" t="s">
        <v>16</v>
      </c>
      <c r="E9" s="1">
        <v>45126.695833333331</v>
      </c>
      <c r="F9" s="2" t="s">
        <v>14</v>
      </c>
      <c r="G9" t="s">
        <v>248</v>
      </c>
      <c r="J9" s="14" t="s">
        <v>303</v>
      </c>
    </row>
    <row r="10" spans="1:13" x14ac:dyDescent="0.2">
      <c r="A10">
        <v>3839</v>
      </c>
      <c r="B10" t="s">
        <v>6</v>
      </c>
      <c r="C10" t="s">
        <v>17</v>
      </c>
      <c r="E10" s="1">
        <v>45126.695833333331</v>
      </c>
      <c r="F10" t="s">
        <v>14</v>
      </c>
      <c r="G10" t="s">
        <v>285</v>
      </c>
      <c r="J10" t="str">
        <f>IFERROR(
  IF(OR(ISNUMBER(SEARCH("should be existed", G10)), ISNUMBER(SEARCH("should exist", G10)), ISNUMBER(SEARCH("should be in wikidata", G10)), ISNUMBER(SEARCH("exists", G10))), "Should Exist",
  IF(OR(ISNUMBER(SEARCH("need further define", G10)), ISNUMBER(SEARCH("should be further define", G10)), ISNUMBER(SEARCH("unclear", G10)), ISNUMBER(SEARCH("prefix", G10)), ISNUMBER(SEARCH("incomplete", G10))), "Need Clarification",
  IF(OR(ISNUMBER(SEARCH("encoding", G10)), ISNUMBER(SEARCH("‚Ä", G10)), ISNUMBER(SEARCH("â€™", G10)), ISNUMBER(SEARCH("apostrophe", G10)), ISNUMBER(SEARCH("character", G10))), "Encoding Issue",
  IF(OR(ISNUMBER(SEARCH("not an organization", G10)), ISNUMBER(SEARCH("not org", G10)), ISNUMBER(SEARCH("title", G10)), ISNUMBER(SEARCH("initiative", G10)), ISNUMBER(SEARCH("not be considered", G10))), "Not an Organization",
  IF(OR(ISNUMBER(SEARCH("ambiguity", G10)), ISNUMBER(SEARCH("generic", G10)), ISNUMBER(SEARCH("common", G10)), ISNUMBER(SEARCH("similar name", G10))), "Name Ambiguity",
  IF(OR(ISNUMBER(SEARCH("abbreviation", G10)), ISNUMBER(SEARCH("short form", G10)), ISNUMBER(SEARCH("acronym", G10)), ISNUMBER(SEARCH("'s", G10)), ISNUMBER(SEARCH("variant", G10))), "Abbreviation Issue",
  IF(OR(ISNUMBER(SEARCH("does not exist", G10)), ISNUMBER(SEARCH("cannot find", G10)), ISNUMBER(SEARCH("no entry", G10)), ISNUMBER(SEARCH("not found", G10)), ISNUMBER(SEARCH("no such organization", G10))), "Does Not Exist",
  IF(OR(ISNUMBER(SEARCH("wrong classification", G10)), ISNUMBER(SEARCH("misidentified", G10)), ISNUMBER(SEARCH("recognitive error", G10)), ISNUMBER(SEARCH("should not", G10))), "Wrong Classification",
  IF(OR(ISNUMBER(SEARCH("repeated", G10)), ISNUMBER(SEARCH("duplicate", G10))), "Duplicated",
  IF(OR(ISNUMBER(SEARCH("split", G10)), ISNUMBER(SEARCH("separate into 2", G10)), ISNUMBER(SEARCH("contains 2 org", G10))), "Split Needed", "not find on wikidata, but exist")))))))))),"not find on wikidata, but exist")</f>
        <v>Wrong Classification</v>
      </c>
    </row>
    <row r="11" spans="1:13" x14ac:dyDescent="0.2">
      <c r="A11">
        <v>3839</v>
      </c>
      <c r="B11" t="s">
        <v>6</v>
      </c>
      <c r="C11" t="s">
        <v>18</v>
      </c>
      <c r="D11" s="1">
        <v>45126.695833333331</v>
      </c>
      <c r="E11" t="s">
        <v>14</v>
      </c>
      <c r="G11" t="s">
        <v>297</v>
      </c>
      <c r="J11" s="3" t="s">
        <v>307</v>
      </c>
      <c r="K11" s="11" t="s">
        <v>308</v>
      </c>
      <c r="L11" t="s">
        <v>345</v>
      </c>
      <c r="M11" s="19" t="s">
        <v>363</v>
      </c>
    </row>
    <row r="12" spans="1:13" x14ac:dyDescent="0.2">
      <c r="A12">
        <v>3839</v>
      </c>
      <c r="B12" t="s">
        <v>6</v>
      </c>
      <c r="C12" t="s">
        <v>19</v>
      </c>
      <c r="E12" s="1">
        <v>45126.695833333331</v>
      </c>
      <c r="F12" t="s">
        <v>14</v>
      </c>
      <c r="G12" t="s">
        <v>248</v>
      </c>
      <c r="J12" s="3" t="s">
        <v>307</v>
      </c>
    </row>
    <row r="13" spans="1:13" x14ac:dyDescent="0.2">
      <c r="A13">
        <v>4855</v>
      </c>
      <c r="B13" t="s">
        <v>6</v>
      </c>
      <c r="C13" t="s">
        <v>20</v>
      </c>
      <c r="D13" s="1">
        <v>45135.852777777778</v>
      </c>
      <c r="E13" t="s">
        <v>21</v>
      </c>
      <c r="G13" t="s">
        <v>297</v>
      </c>
      <c r="J13" s="3" t="s">
        <v>307</v>
      </c>
    </row>
    <row r="14" spans="1:13" x14ac:dyDescent="0.2">
      <c r="A14">
        <v>4855</v>
      </c>
      <c r="B14" t="s">
        <v>6</v>
      </c>
      <c r="C14" t="s">
        <v>22</v>
      </c>
      <c r="D14" s="1">
        <v>45135.852777777778</v>
      </c>
      <c r="E14" t="s">
        <v>21</v>
      </c>
      <c r="G14" t="s">
        <v>298</v>
      </c>
      <c r="J14" s="3" t="s">
        <v>307</v>
      </c>
    </row>
    <row r="15" spans="1:13" x14ac:dyDescent="0.2">
      <c r="A15">
        <v>4855</v>
      </c>
      <c r="B15" t="s">
        <v>6</v>
      </c>
      <c r="C15" t="s">
        <v>23</v>
      </c>
      <c r="E15" s="1">
        <v>45135.852777777778</v>
      </c>
      <c r="F15" t="s">
        <v>21</v>
      </c>
      <c r="G15" t="s">
        <v>247</v>
      </c>
      <c r="J15" t="str">
        <f t="shared" ref="J15" si="0">IFERROR(
  IF(OR(ISNUMBER(SEARCH("should be existed", G15)), ISNUMBER(SEARCH("should exist", G15)), ISNUMBER(SEARCH("should be in wikidata", G15)), ISNUMBER(SEARCH("exists", G15))), "Should Exist",
  IF(OR(ISNUMBER(SEARCH("need further define", G15)), ISNUMBER(SEARCH("should be further define", G15)), ISNUMBER(SEARCH("unclear", G15)), ISNUMBER(SEARCH("prefix", G15)), ISNUMBER(SEARCH("incomplete", G15))), "Need Clarification",
  IF(OR(ISNUMBER(SEARCH("encoding", G15)), ISNUMBER(SEARCH("‚Ä", G15)), ISNUMBER(SEARCH("â€™", G15)), ISNUMBER(SEARCH("apostrophe", G15)), ISNUMBER(SEARCH("character", G15))), "Encoding Issue",
  IF(OR(ISNUMBER(SEARCH("not an organization", G15)), ISNUMBER(SEARCH("not org", G15)), ISNUMBER(SEARCH("title", G15)), ISNUMBER(SEARCH("initiative", G15)), ISNUMBER(SEARCH("not be considered", G15))), "Not an Organization",
  IF(OR(ISNUMBER(SEARCH("ambiguity", G15)), ISNUMBER(SEARCH("generic", G15)), ISNUMBER(SEARCH("common", G15)), ISNUMBER(SEARCH("similar name", G15))), "Name Ambiguity",
  IF(OR(ISNUMBER(SEARCH("abbreviation", G15)), ISNUMBER(SEARCH("short form", G15)), ISNUMBER(SEARCH("acronym", G15)), ISNUMBER(SEARCH("'s", G15)), ISNUMBER(SEARCH("variant", G15))), "Abbreviation Issue",
  IF(OR(ISNUMBER(SEARCH("does not exist", G15)), ISNUMBER(SEARCH("cannot find", G15)), ISNUMBER(SEARCH("no entry", G15)), ISNUMBER(SEARCH("not found", G15)), ISNUMBER(SEARCH("no such organization", G15))), "Does Not Exist",
  IF(OR(ISNUMBER(SEARCH("wrong classification", G15)), ISNUMBER(SEARCH("misidentified", G15)), ISNUMBER(SEARCH("recognitive error", G15)), ISNUMBER(SEARCH("should not", G15))), "Wrong Classification",
  IF(OR(ISNUMBER(SEARCH("repeated", G15)), ISNUMBER(SEARCH("duplicate", G15))), "Duplicated",
  IF(OR(ISNUMBER(SEARCH("split", G15)), ISNUMBER(SEARCH("separate into 2", G15)), ISNUMBER(SEARCH("contains 2 org", G15))), "Split Needed", "not find on wikidata, but exist")))))))))),"not find on wikidata, but exist")</f>
        <v>Encoding Issue</v>
      </c>
    </row>
    <row r="16" spans="1:13" x14ac:dyDescent="0.2">
      <c r="A16">
        <v>4855</v>
      </c>
      <c r="B16" t="s">
        <v>6</v>
      </c>
      <c r="C16" t="s">
        <v>24</v>
      </c>
      <c r="D16" s="1">
        <v>45135.852777777778</v>
      </c>
      <c r="E16" t="s">
        <v>21</v>
      </c>
      <c r="G16" t="s">
        <v>297</v>
      </c>
      <c r="J16" s="3" t="s">
        <v>307</v>
      </c>
    </row>
    <row r="17" spans="1:13" x14ac:dyDescent="0.2">
      <c r="A17">
        <v>4855</v>
      </c>
      <c r="B17" t="s">
        <v>6</v>
      </c>
      <c r="C17" t="s">
        <v>25</v>
      </c>
      <c r="D17" s="1">
        <v>45135.852777777778</v>
      </c>
      <c r="E17" t="s">
        <v>21</v>
      </c>
      <c r="G17" t="s">
        <v>297</v>
      </c>
      <c r="J17" s="3" t="s">
        <v>307</v>
      </c>
      <c r="K17" s="11" t="s">
        <v>308</v>
      </c>
      <c r="L17" t="s">
        <v>346</v>
      </c>
      <c r="M17" s="19" t="s">
        <v>363</v>
      </c>
    </row>
    <row r="18" spans="1:13" x14ac:dyDescent="0.2">
      <c r="A18">
        <v>4855</v>
      </c>
      <c r="B18" t="s">
        <v>6</v>
      </c>
      <c r="C18" t="s">
        <v>26</v>
      </c>
      <c r="D18" s="1">
        <v>45135.852777777778</v>
      </c>
      <c r="E18" t="s">
        <v>21</v>
      </c>
      <c r="G18" t="s">
        <v>297</v>
      </c>
      <c r="J18" s="3" t="s">
        <v>307</v>
      </c>
      <c r="K18" s="11" t="s">
        <v>308</v>
      </c>
      <c r="L18" t="s">
        <v>347</v>
      </c>
      <c r="M18" s="14" t="s">
        <v>303</v>
      </c>
    </row>
    <row r="19" spans="1:13" x14ac:dyDescent="0.2">
      <c r="A19">
        <v>6649</v>
      </c>
      <c r="B19" t="s">
        <v>6</v>
      </c>
      <c r="C19" t="s">
        <v>27</v>
      </c>
      <c r="D19" s="1">
        <v>45144.584027777775</v>
      </c>
      <c r="E19" t="s">
        <v>28</v>
      </c>
      <c r="G19" t="s">
        <v>297</v>
      </c>
      <c r="J19" s="3" t="s">
        <v>307</v>
      </c>
    </row>
    <row r="20" spans="1:13" x14ac:dyDescent="0.2">
      <c r="A20">
        <v>6649</v>
      </c>
      <c r="B20" t="s">
        <v>6</v>
      </c>
      <c r="C20" t="s">
        <v>29</v>
      </c>
      <c r="D20" s="1">
        <v>45144.584027777775</v>
      </c>
      <c r="E20" t="s">
        <v>28</v>
      </c>
      <c r="G20" t="s">
        <v>249</v>
      </c>
      <c r="J20" s="3" t="s">
        <v>307</v>
      </c>
    </row>
    <row r="21" spans="1:13" x14ac:dyDescent="0.2">
      <c r="A21">
        <v>6649</v>
      </c>
      <c r="B21" t="s">
        <v>6</v>
      </c>
      <c r="C21" t="s">
        <v>30</v>
      </c>
      <c r="D21" s="1">
        <v>45144.584027777775</v>
      </c>
      <c r="E21" t="s">
        <v>28</v>
      </c>
      <c r="G21" t="s">
        <v>297</v>
      </c>
      <c r="J21" s="3" t="s">
        <v>307</v>
      </c>
      <c r="K21" s="11" t="s">
        <v>308</v>
      </c>
      <c r="L21" t="s">
        <v>346</v>
      </c>
      <c r="M21" s="19" t="s">
        <v>363</v>
      </c>
    </row>
    <row r="22" spans="1:13" x14ac:dyDescent="0.2">
      <c r="A22">
        <v>6649</v>
      </c>
      <c r="B22" t="s">
        <v>6</v>
      </c>
      <c r="C22" t="s">
        <v>31</v>
      </c>
      <c r="D22" s="1">
        <v>45144.584027777775</v>
      </c>
      <c r="E22" t="s">
        <v>28</v>
      </c>
      <c r="G22" t="s">
        <v>297</v>
      </c>
      <c r="J22" s="3" t="s">
        <v>307</v>
      </c>
    </row>
    <row r="23" spans="1:13" x14ac:dyDescent="0.2">
      <c r="A23">
        <v>6649</v>
      </c>
      <c r="B23" t="s">
        <v>6</v>
      </c>
      <c r="C23" t="s">
        <v>32</v>
      </c>
      <c r="E23" s="1">
        <v>45144.584027777775</v>
      </c>
      <c r="F23" t="s">
        <v>28</v>
      </c>
      <c r="G23" t="s">
        <v>250</v>
      </c>
      <c r="J23" t="s">
        <v>305</v>
      </c>
    </row>
    <row r="24" spans="1:13" x14ac:dyDescent="0.2">
      <c r="A24">
        <v>12150</v>
      </c>
      <c r="B24" t="s">
        <v>6</v>
      </c>
      <c r="C24" t="s">
        <v>33</v>
      </c>
      <c r="E24" s="1">
        <v>44750.320833333331</v>
      </c>
      <c r="F24" t="s">
        <v>34</v>
      </c>
      <c r="G24" t="s">
        <v>251</v>
      </c>
      <c r="J24" s="14" t="s">
        <v>303</v>
      </c>
    </row>
    <row r="25" spans="1:13" x14ac:dyDescent="0.2">
      <c r="A25">
        <v>12150</v>
      </c>
      <c r="B25" t="s">
        <v>6</v>
      </c>
      <c r="C25" t="s">
        <v>35</v>
      </c>
      <c r="E25" s="1">
        <v>44750.320833333331</v>
      </c>
      <c r="F25" t="s">
        <v>34</v>
      </c>
      <c r="G25" t="s">
        <v>248</v>
      </c>
      <c r="J25" s="14" t="s">
        <v>303</v>
      </c>
    </row>
    <row r="26" spans="1:13" x14ac:dyDescent="0.2">
      <c r="A26">
        <v>12150</v>
      </c>
      <c r="B26" t="s">
        <v>6</v>
      </c>
      <c r="C26" t="s">
        <v>36</v>
      </c>
      <c r="E26" s="1">
        <v>44750.320833333331</v>
      </c>
      <c r="F26" t="s">
        <v>34</v>
      </c>
      <c r="G26" s="15" t="s">
        <v>299</v>
      </c>
      <c r="J26" s="14" t="s">
        <v>303</v>
      </c>
    </row>
    <row r="27" spans="1:13" x14ac:dyDescent="0.2">
      <c r="A27">
        <v>12150</v>
      </c>
      <c r="B27" t="s">
        <v>6</v>
      </c>
      <c r="C27" t="s">
        <v>37</v>
      </c>
      <c r="E27" s="1">
        <v>44750.320833333331</v>
      </c>
      <c r="F27" t="s">
        <v>34</v>
      </c>
      <c r="G27" t="s">
        <v>252</v>
      </c>
      <c r="J27" s="14" t="s">
        <v>303</v>
      </c>
    </row>
    <row r="28" spans="1:13" x14ac:dyDescent="0.2">
      <c r="A28">
        <v>12158</v>
      </c>
      <c r="B28" t="s">
        <v>6</v>
      </c>
      <c r="C28" t="s">
        <v>38</v>
      </c>
      <c r="D28" s="1">
        <v>44797.600694444445</v>
      </c>
      <c r="E28" t="s">
        <v>39</v>
      </c>
      <c r="G28" t="s">
        <v>297</v>
      </c>
      <c r="J28" s="3" t="s">
        <v>307</v>
      </c>
    </row>
    <row r="29" spans="1:13" x14ac:dyDescent="0.2">
      <c r="A29">
        <v>13377</v>
      </c>
      <c r="B29" t="s">
        <v>6</v>
      </c>
      <c r="C29" t="s">
        <v>40</v>
      </c>
      <c r="E29" s="1">
        <v>44799.018750000003</v>
      </c>
      <c r="F29" t="s">
        <v>41</v>
      </c>
      <c r="G29" t="s">
        <v>297</v>
      </c>
      <c r="J29" s="3" t="s">
        <v>307</v>
      </c>
    </row>
    <row r="30" spans="1:13" x14ac:dyDescent="0.2">
      <c r="A30">
        <v>13377</v>
      </c>
      <c r="B30" t="s">
        <v>6</v>
      </c>
      <c r="C30" t="s">
        <v>42</v>
      </c>
      <c r="E30" s="1">
        <v>44799.018750000003</v>
      </c>
      <c r="F30" t="s">
        <v>41</v>
      </c>
      <c r="G30" t="s">
        <v>253</v>
      </c>
      <c r="J30" t="str">
        <f t="shared" ref="J30:J34" si="1">IFERROR(
  IF(OR(ISNUMBER(SEARCH("should be existed", G30)), ISNUMBER(SEARCH("should exist", G30)), ISNUMBER(SEARCH("should be in wikidata", G30)), ISNUMBER(SEARCH("exists", G30))), "Should Exist",
  IF(OR(ISNUMBER(SEARCH("need further define", G30)), ISNUMBER(SEARCH("should be further define", G30)), ISNUMBER(SEARCH("unclear", G30)), ISNUMBER(SEARCH("prefix", G30)), ISNUMBER(SEARCH("incomplete", G30))), "Need Clarification",
  IF(OR(ISNUMBER(SEARCH("encoding", G30)), ISNUMBER(SEARCH("‚Ä", G30)), ISNUMBER(SEARCH("â€™", G30)), ISNUMBER(SEARCH("apostrophe", G30)), ISNUMBER(SEARCH("character", G30))), "Encoding Issue",
  IF(OR(ISNUMBER(SEARCH("not an organization", G30)), ISNUMBER(SEARCH("not org", G30)), ISNUMBER(SEARCH("title", G30)), ISNUMBER(SEARCH("initiative", G30)), ISNUMBER(SEARCH("not be considered", G30))), "Not an Organization",
  IF(OR(ISNUMBER(SEARCH("ambiguity", G30)), ISNUMBER(SEARCH("generic", G30)), ISNUMBER(SEARCH("common", G30)), ISNUMBER(SEARCH("similar name", G30))), "Name Ambiguity",
  IF(OR(ISNUMBER(SEARCH("abbreviation", G30)), ISNUMBER(SEARCH("short form", G30)), ISNUMBER(SEARCH("acronym", G30)), ISNUMBER(SEARCH("'s", G30)), ISNUMBER(SEARCH("variant", G30))), "Abbreviation Issue",
  IF(OR(ISNUMBER(SEARCH("does not exist", G30)), ISNUMBER(SEARCH("cannot find", G30)), ISNUMBER(SEARCH("no entry", G30)), ISNUMBER(SEARCH("not found", G30)), ISNUMBER(SEARCH("no such organization", G30))), "Does Not Exist",
  IF(OR(ISNUMBER(SEARCH("wrong classification", G30)), ISNUMBER(SEARCH("misidentified", G30)), ISNUMBER(SEARCH("recognitive error", G30)), ISNUMBER(SEARCH("should not", G30))), "Wrong Classification",
  IF(OR(ISNUMBER(SEARCH("repeated", G30)), ISNUMBER(SEARCH("duplicate", G30))), "Duplicated",
  IF(OR(ISNUMBER(SEARCH("split", G30)), ISNUMBER(SEARCH("separate into 2", G30)), ISNUMBER(SEARCH("contains 2 org", G30))), "Split Needed", "not find on wikidata, but exist")))))))))),"not find on wikidata, but exist")</f>
        <v>Wrong Classification</v>
      </c>
    </row>
    <row r="31" spans="1:13" x14ac:dyDescent="0.2">
      <c r="A31">
        <v>13629</v>
      </c>
      <c r="B31" t="s">
        <v>6</v>
      </c>
      <c r="C31" t="s">
        <v>43</v>
      </c>
      <c r="E31" s="1">
        <v>44798.802083333336</v>
      </c>
      <c r="F31" t="s">
        <v>44</v>
      </c>
      <c r="G31" t="s">
        <v>254</v>
      </c>
      <c r="J31" s="7" t="s">
        <v>366</v>
      </c>
      <c r="M31" s="7" t="s">
        <v>326</v>
      </c>
    </row>
    <row r="32" spans="1:13" x14ac:dyDescent="0.2">
      <c r="A32">
        <v>13629</v>
      </c>
      <c r="B32" t="s">
        <v>6</v>
      </c>
      <c r="C32" t="s">
        <v>45</v>
      </c>
      <c r="E32" s="1">
        <v>44798.802083333336</v>
      </c>
      <c r="F32" t="s">
        <v>44</v>
      </c>
      <c r="G32" t="s">
        <v>255</v>
      </c>
      <c r="J32" s="14" t="str">
        <f t="shared" si="1"/>
        <v>Name Ambiguity</v>
      </c>
    </row>
    <row r="33" spans="1:13" x14ac:dyDescent="0.2">
      <c r="A33">
        <v>13629</v>
      </c>
      <c r="B33" t="s">
        <v>6</v>
      </c>
      <c r="C33" t="s">
        <v>46</v>
      </c>
      <c r="E33" s="1">
        <v>44798.802083333336</v>
      </c>
      <c r="F33" t="s">
        <v>44</v>
      </c>
      <c r="G33" t="s">
        <v>297</v>
      </c>
      <c r="J33" s="3" t="s">
        <v>307</v>
      </c>
      <c r="K33" s="13" t="s">
        <v>308</v>
      </c>
      <c r="L33" t="s">
        <v>346</v>
      </c>
      <c r="M33" s="19" t="s">
        <v>363</v>
      </c>
    </row>
    <row r="34" spans="1:13" x14ac:dyDescent="0.2">
      <c r="A34">
        <v>13629</v>
      </c>
      <c r="B34" t="s">
        <v>6</v>
      </c>
      <c r="C34" t="s">
        <v>47</v>
      </c>
      <c r="D34" s="1">
        <v>44798.802083333336</v>
      </c>
      <c r="E34" t="s">
        <v>44</v>
      </c>
      <c r="G34" t="s">
        <v>253</v>
      </c>
      <c r="J34" t="str">
        <f t="shared" si="1"/>
        <v>Wrong Classification</v>
      </c>
    </row>
    <row r="35" spans="1:13" x14ac:dyDescent="0.2">
      <c r="A35">
        <v>13629</v>
      </c>
      <c r="B35" t="s">
        <v>6</v>
      </c>
      <c r="C35" t="s">
        <v>48</v>
      </c>
      <c r="E35" s="1">
        <v>44798.802083333336</v>
      </c>
      <c r="F35" t="s">
        <v>44</v>
      </c>
      <c r="G35" t="s">
        <v>297</v>
      </c>
      <c r="J35" s="3" t="s">
        <v>307</v>
      </c>
    </row>
    <row r="36" spans="1:13" x14ac:dyDescent="0.2">
      <c r="A36">
        <v>13629</v>
      </c>
      <c r="B36" t="s">
        <v>6</v>
      </c>
      <c r="C36" t="s">
        <v>49</v>
      </c>
      <c r="E36" s="1">
        <v>44798.802083333336</v>
      </c>
      <c r="F36" t="s">
        <v>44</v>
      </c>
      <c r="G36" t="s">
        <v>256</v>
      </c>
      <c r="J36" s="7" t="s">
        <v>366</v>
      </c>
      <c r="M36" s="7" t="s">
        <v>326</v>
      </c>
    </row>
    <row r="37" spans="1:13" x14ac:dyDescent="0.2">
      <c r="A37">
        <v>13629</v>
      </c>
      <c r="B37" t="s">
        <v>6</v>
      </c>
      <c r="C37" t="s">
        <v>50</v>
      </c>
      <c r="E37" s="1">
        <v>44798.802083333336</v>
      </c>
      <c r="F37" t="s">
        <v>44</v>
      </c>
      <c r="G37" t="s">
        <v>331</v>
      </c>
      <c r="J37" t="s">
        <v>305</v>
      </c>
    </row>
    <row r="38" spans="1:13" x14ac:dyDescent="0.2">
      <c r="A38">
        <v>13629</v>
      </c>
      <c r="B38" t="s">
        <v>6</v>
      </c>
      <c r="C38" t="s">
        <v>51</v>
      </c>
      <c r="E38" s="1">
        <v>44798.802083333336</v>
      </c>
      <c r="F38" t="s">
        <v>44</v>
      </c>
      <c r="G38" t="s">
        <v>257</v>
      </c>
      <c r="J38" s="14" t="s">
        <v>303</v>
      </c>
    </row>
    <row r="39" spans="1:13" x14ac:dyDescent="0.2">
      <c r="A39">
        <v>19843</v>
      </c>
      <c r="B39" t="s">
        <v>6</v>
      </c>
      <c r="C39" t="s">
        <v>52</v>
      </c>
      <c r="E39" s="1">
        <v>44452.932638888888</v>
      </c>
      <c r="F39" t="s">
        <v>53</v>
      </c>
      <c r="G39" t="s">
        <v>297</v>
      </c>
      <c r="J39" s="3" t="s">
        <v>307</v>
      </c>
      <c r="K39" s="13" t="s">
        <v>308</v>
      </c>
      <c r="L39" t="s">
        <v>359</v>
      </c>
      <c r="M39" s="14" t="s">
        <v>303</v>
      </c>
    </row>
    <row r="40" spans="1:13" x14ac:dyDescent="0.2">
      <c r="A40">
        <v>19843</v>
      </c>
      <c r="B40" t="s">
        <v>6</v>
      </c>
      <c r="C40" t="s">
        <v>54</v>
      </c>
      <c r="D40" s="1">
        <v>44452.932638888888</v>
      </c>
      <c r="E40" t="s">
        <v>53</v>
      </c>
      <c r="G40" t="s">
        <v>258</v>
      </c>
      <c r="J40" s="14" t="str">
        <f>IFERROR(
  IF(OR(ISNUMBER(SEARCH("should be existed", G40)), ISNUMBER(SEARCH("should exist", G40)), ISNUMBER(SEARCH("should be in wikidata", G40)), ISNUMBER(SEARCH("exists", G40))), "Should Exist",
  IF(OR(ISNUMBER(SEARCH("need further define", G40)), ISNUMBER(SEARCH("should be further define", G40)), ISNUMBER(SEARCH("unclear", G40)), ISNUMBER(SEARCH("prefix", G40)), ISNUMBER(SEARCH("incomplete", G40))), "Need Clarification",
  IF(OR(ISNUMBER(SEARCH("encoding", G40)), ISNUMBER(SEARCH("‚Ä", G40)), ISNUMBER(SEARCH("â€™", G40)), ISNUMBER(SEARCH("apostrophe", G40)), ISNUMBER(SEARCH("character", G40))), "Encoding Issue",
  IF(OR(ISNUMBER(SEARCH("not an organization", G40)), ISNUMBER(SEARCH("not org", G40)), ISNUMBER(SEARCH("title", G40)), ISNUMBER(SEARCH("initiative", G40)), ISNUMBER(SEARCH("not be considered", G40))), "Not an Organization",
  IF(OR(ISNUMBER(SEARCH("ambiguity", G40)), ISNUMBER(SEARCH("generic", G40)), ISNUMBER(SEARCH("common", G40)), ISNUMBER(SEARCH("similar name", G40))), "Name Ambiguity",
  IF(OR(ISNUMBER(SEARCH("abbreviation", G40)), ISNUMBER(SEARCH("short form", G40)), ISNUMBER(SEARCH("acronym", G40)), ISNUMBER(SEARCH("'s", G40)), ISNUMBER(SEARCH("variant", G40))), "Abbreviation Issue",
  IF(OR(ISNUMBER(SEARCH("does not exist", G40)), ISNUMBER(SEARCH("cannot find", G40)), ISNUMBER(SEARCH("no entry", G40)), ISNUMBER(SEARCH("not found", G40)), ISNUMBER(SEARCH("no such organization", G40))), "Does Not Exist",
  IF(OR(ISNUMBER(SEARCH("wrong classification", G40)), ISNUMBER(SEARCH("misidentified", G40)), ISNUMBER(SEARCH("recognitive error", G40)), ISNUMBER(SEARCH("should not", G40))), "Wrong Classification",
  IF(OR(ISNUMBER(SEARCH("repeated", G40)), ISNUMBER(SEARCH("duplicate", G40))), "Duplicated",
  IF(OR(ISNUMBER(SEARCH("split", G40)), ISNUMBER(SEARCH("separate into 2", G40)), ISNUMBER(SEARCH("contains 2 org", G40))), "Split Needed", "not find on wikidata, but exist")))))))))),"not find on wikidata, but exist")</f>
        <v>Name Ambiguity</v>
      </c>
    </row>
    <row r="41" spans="1:13" x14ac:dyDescent="0.2">
      <c r="A41">
        <v>19843</v>
      </c>
      <c r="B41" t="s">
        <v>6</v>
      </c>
      <c r="C41" t="s">
        <v>55</v>
      </c>
      <c r="E41" s="1">
        <v>44452.932638888888</v>
      </c>
      <c r="F41" t="s">
        <v>53</v>
      </c>
      <c r="G41" t="s">
        <v>259</v>
      </c>
      <c r="J41" t="str">
        <f>IFERROR(
  IF(OR(ISNUMBER(SEARCH("should be existed", G41)), ISNUMBER(SEARCH("should exist", G41)), ISNUMBER(SEARCH("should be in wikidata", G41)), ISNUMBER(SEARCH("exists", G41))), "Should Exist",
  IF(OR(ISNUMBER(SEARCH("need further define", G41)), ISNUMBER(SEARCH("should be further define", G41)), ISNUMBER(SEARCH("unclear", G41)), ISNUMBER(SEARCH("prefix", G41)), ISNUMBER(SEARCH("incomplete", G41))), "Need Clarification",
  IF(OR(ISNUMBER(SEARCH("encoding", G41)), ISNUMBER(SEARCH("‚Ä", G41)), ISNUMBER(SEARCH("â€™", G41)), ISNUMBER(SEARCH("apostrophe", G41)), ISNUMBER(SEARCH("character", G41))), "Encoding Issue",
  IF(OR(ISNUMBER(SEARCH("not an organization", G41)), ISNUMBER(SEARCH("not org", G41)), ISNUMBER(SEARCH("title", G41)), ISNUMBER(SEARCH("initiative", G41)), ISNUMBER(SEARCH("not be considered", G41))), "Not an Organization",
  IF(OR(ISNUMBER(SEARCH("ambiguity", G41)), ISNUMBER(SEARCH("generic", G41)), ISNUMBER(SEARCH("common", G41)), ISNUMBER(SEARCH("similar name", G41))), "Name Ambiguity",
  IF(OR(ISNUMBER(SEARCH("abbreviation", G41)), ISNUMBER(SEARCH("short form", G41)), ISNUMBER(SEARCH("acronym", G41)), ISNUMBER(SEARCH("'s", G41)), ISNUMBER(SEARCH("variant", G41))), "Abbreviation Issue",
  IF(OR(ISNUMBER(SEARCH("does not exist", G41)), ISNUMBER(SEARCH("cannot find", G41)), ISNUMBER(SEARCH("no entry", G41)), ISNUMBER(SEARCH("not found", G41)), ISNUMBER(SEARCH("no such organization", G41))), "Does Not Exist",
  IF(OR(ISNUMBER(SEARCH("wrong classification", G41)), ISNUMBER(SEARCH("misidentified", G41)), ISNUMBER(SEARCH("recognitive error", G41)), ISNUMBER(SEARCH("should not", G41))), "Wrong Classification",
  IF(OR(ISNUMBER(SEARCH("repeated", G41)), ISNUMBER(SEARCH("duplicate", G41))), "Duplicated",
  IF(OR(ISNUMBER(SEARCH("split", G41)), ISNUMBER(SEARCH("separate into 2", G41)), ISNUMBER(SEARCH("contains 2 org", G41))), "Split Needed", "not find on wikidata, but exist")))))))))),"not find on wikidata, but exist")</f>
        <v>Encoding Issue</v>
      </c>
    </row>
    <row r="42" spans="1:13" x14ac:dyDescent="0.2">
      <c r="A42">
        <v>19843</v>
      </c>
      <c r="B42" t="s">
        <v>6</v>
      </c>
      <c r="C42" t="s">
        <v>56</v>
      </c>
      <c r="E42" s="1">
        <v>44452.932638888888</v>
      </c>
      <c r="F42" t="s">
        <v>53</v>
      </c>
      <c r="G42" t="s">
        <v>260</v>
      </c>
      <c r="J42" t="str">
        <f>IFERROR(
  IF(OR(ISNUMBER(SEARCH("should be existed", G42)), ISNUMBER(SEARCH("should exist", G42)), ISNUMBER(SEARCH("should be in wikidata", G42)), ISNUMBER(SEARCH("exists", G42))), "Should Exist",
  IF(OR(ISNUMBER(SEARCH("need further define", G42)), ISNUMBER(SEARCH("should be further define", G42)), ISNUMBER(SEARCH("unclear", G42)), ISNUMBER(SEARCH("prefix", G42)), ISNUMBER(SEARCH("incomplete", G42))), "Need Clarification",
  IF(OR(ISNUMBER(SEARCH("encoding", G42)), ISNUMBER(SEARCH("‚Ä", G42)), ISNUMBER(SEARCH("â€™", G42)), ISNUMBER(SEARCH("apostrophe", G42)), ISNUMBER(SEARCH("character", G42))), "Encoding Issue",
  IF(OR(ISNUMBER(SEARCH("not an organization", G42)), ISNUMBER(SEARCH("not org", G42)), ISNUMBER(SEARCH("title", G42)), ISNUMBER(SEARCH("initiative", G42)), ISNUMBER(SEARCH("not be considered", G42))), "Not an Organization",
  IF(OR(ISNUMBER(SEARCH("ambiguity", G42)), ISNUMBER(SEARCH("generic", G42)), ISNUMBER(SEARCH("common", G42)), ISNUMBER(SEARCH("similar name", G42))), "Name Ambiguity",
  IF(OR(ISNUMBER(SEARCH("abbreviation", G42)), ISNUMBER(SEARCH("short form", G42)), ISNUMBER(SEARCH("acronym", G42)), ISNUMBER(SEARCH("'s", G42)), ISNUMBER(SEARCH("variant", G42))), "Abbreviation Issue",
  IF(OR(ISNUMBER(SEARCH("does not exist", G42)), ISNUMBER(SEARCH("cannot find", G42)), ISNUMBER(SEARCH("no entry", G42)), ISNUMBER(SEARCH("not found", G42)), ISNUMBER(SEARCH("no such organization", G42))), "Does Not Exist",
  IF(OR(ISNUMBER(SEARCH("wrong classification", G42)), ISNUMBER(SEARCH("misidentified", G42)), ISNUMBER(SEARCH("recognitive error", G42)), ISNUMBER(SEARCH("should not", G42))), "Wrong Classification",
  IF(OR(ISNUMBER(SEARCH("repeated", G42)), ISNUMBER(SEARCH("duplicate", G42))), "Duplicated",
  IF(OR(ISNUMBER(SEARCH("split", G42)), ISNUMBER(SEARCH("separate into 2", G42)), ISNUMBER(SEARCH("contains 2 org", G42))), "Split Needed", "not find on wikidata, but exist")))))))))),"not find on wikidata, but exist")</f>
        <v>Wrong Classification</v>
      </c>
    </row>
    <row r="43" spans="1:13" x14ac:dyDescent="0.2">
      <c r="A43">
        <v>19843</v>
      </c>
      <c r="B43" t="s">
        <v>6</v>
      </c>
      <c r="C43" t="s">
        <v>57</v>
      </c>
      <c r="E43" s="1">
        <v>44452.932638888888</v>
      </c>
      <c r="F43" t="s">
        <v>53</v>
      </c>
      <c r="G43" t="s">
        <v>261</v>
      </c>
      <c r="J43" t="str">
        <f>IFERROR(
  IF(OR(ISNUMBER(SEARCH("should be existed", G43)), ISNUMBER(SEARCH("should exist", G43)), ISNUMBER(SEARCH("should be in wikidata", G43)), ISNUMBER(SEARCH("exists", G43))), "Should Exist",
  IF(OR(ISNUMBER(SEARCH("need further define", G43)), ISNUMBER(SEARCH("should be further define", G43)), ISNUMBER(SEARCH("unclear", G43)), ISNUMBER(SEARCH("prefix", G43)), ISNUMBER(SEARCH("incomplete", G43))), "Need Clarification",
  IF(OR(ISNUMBER(SEARCH("encoding", G43)), ISNUMBER(SEARCH("‚Ä", G43)), ISNUMBER(SEARCH("â€™", G43)), ISNUMBER(SEARCH("apostrophe", G43)), ISNUMBER(SEARCH("character", G43))), "Encoding Issue",
  IF(OR(ISNUMBER(SEARCH("not an organization", G43)), ISNUMBER(SEARCH("not org", G43)), ISNUMBER(SEARCH("title", G43)), ISNUMBER(SEARCH("initiative", G43)), ISNUMBER(SEARCH("not be considered", G43))), "Not an Organization",
  IF(OR(ISNUMBER(SEARCH("ambiguity", G43)), ISNUMBER(SEARCH("generic", G43)), ISNUMBER(SEARCH("common", G43)), ISNUMBER(SEARCH("similar name", G43))), "Name Ambiguity",
  IF(OR(ISNUMBER(SEARCH("abbreviation", G43)), ISNUMBER(SEARCH("short form", G43)), ISNUMBER(SEARCH("acronym", G43)), ISNUMBER(SEARCH("'s", G43)), ISNUMBER(SEARCH("variant", G43))), "Abbreviation Issue",
  IF(OR(ISNUMBER(SEARCH("does not exist", G43)), ISNUMBER(SEARCH("cannot find", G43)), ISNUMBER(SEARCH("no entry", G43)), ISNUMBER(SEARCH("not found", G43)), ISNUMBER(SEARCH("no such organization", G43))), "Does Not Exist",
  IF(OR(ISNUMBER(SEARCH("wrong classification", G43)), ISNUMBER(SEARCH("misidentified", G43)), ISNUMBER(SEARCH("recognitive error", G43)), ISNUMBER(SEARCH("should not", G43))), "Wrong Classification",
  IF(OR(ISNUMBER(SEARCH("repeated", G43)), ISNUMBER(SEARCH("duplicate", G43))), "Duplicated",
  IF(OR(ISNUMBER(SEARCH("split", G43)), ISNUMBER(SEARCH("separate into 2", G43)), ISNUMBER(SEARCH("contains 2 org", G43))), "Split Needed", "not find on wikidata, but exist")))))))))),"not find on wikidata, but exist")</f>
        <v>Wrong Classification</v>
      </c>
    </row>
    <row r="44" spans="1:13" x14ac:dyDescent="0.2">
      <c r="A44">
        <v>21476</v>
      </c>
      <c r="B44" t="s">
        <v>6</v>
      </c>
      <c r="C44" t="s">
        <v>58</v>
      </c>
      <c r="E44" t="s">
        <v>59</v>
      </c>
      <c r="F44" t="s">
        <v>60</v>
      </c>
      <c r="G44" t="s">
        <v>247</v>
      </c>
      <c r="J44" t="str">
        <f>IFERROR(
  IF(OR(ISNUMBER(SEARCH("should be existed", G44)), ISNUMBER(SEARCH("should exist", G44)), ISNUMBER(SEARCH("should be in wikidata", G44)), ISNUMBER(SEARCH("exists", G44))), "Should Exist",
  IF(OR(ISNUMBER(SEARCH("need further define", G44)), ISNUMBER(SEARCH("should be further define", G44)), ISNUMBER(SEARCH("unclear", G44)), ISNUMBER(SEARCH("prefix", G44)), ISNUMBER(SEARCH("incomplete", G44))), "Need Clarification",
  IF(OR(ISNUMBER(SEARCH("encoding", G44)), ISNUMBER(SEARCH("‚Ä", G44)), ISNUMBER(SEARCH("â€™", G44)), ISNUMBER(SEARCH("apostrophe", G44)), ISNUMBER(SEARCH("character", G44))), "Encoding Issue",
  IF(OR(ISNUMBER(SEARCH("not an organization", G44)), ISNUMBER(SEARCH("not org", G44)), ISNUMBER(SEARCH("title", G44)), ISNUMBER(SEARCH("initiative", G44)), ISNUMBER(SEARCH("not be considered", G44))), "Not an Organization",
  IF(OR(ISNUMBER(SEARCH("ambiguity", G44)), ISNUMBER(SEARCH("generic", G44)), ISNUMBER(SEARCH("common", G44)), ISNUMBER(SEARCH("similar name", G44))), "Name Ambiguity",
  IF(OR(ISNUMBER(SEARCH("abbreviation", G44)), ISNUMBER(SEARCH("short form", G44)), ISNUMBER(SEARCH("acronym", G44)), ISNUMBER(SEARCH("'s", G44)), ISNUMBER(SEARCH("variant", G44))), "Abbreviation Issue",
  IF(OR(ISNUMBER(SEARCH("does not exist", G44)), ISNUMBER(SEARCH("cannot find", G44)), ISNUMBER(SEARCH("no entry", G44)), ISNUMBER(SEARCH("not found", G44)), ISNUMBER(SEARCH("no such organization", G44))), "Does Not Exist",
  IF(OR(ISNUMBER(SEARCH("wrong classification", G44)), ISNUMBER(SEARCH("misidentified", G44)), ISNUMBER(SEARCH("recognitive error", G44)), ISNUMBER(SEARCH("should not", G44))), "Wrong Classification",
  IF(OR(ISNUMBER(SEARCH("repeated", G44)), ISNUMBER(SEARCH("duplicate", G44))), "Duplicated",
  IF(OR(ISNUMBER(SEARCH("split", G44)), ISNUMBER(SEARCH("separate into 2", G44)), ISNUMBER(SEARCH("contains 2 org", G44))), "Split Needed", "not find on wikidata, but exist")))))))))),"not find on wikidata, but exist")</f>
        <v>Encoding Issue</v>
      </c>
    </row>
    <row r="45" spans="1:13" x14ac:dyDescent="0.2">
      <c r="A45">
        <v>21476</v>
      </c>
      <c r="B45" t="s">
        <v>6</v>
      </c>
      <c r="C45" t="s">
        <v>61</v>
      </c>
      <c r="E45" t="s">
        <v>59</v>
      </c>
      <c r="F45" t="s">
        <v>60</v>
      </c>
      <c r="G45" t="s">
        <v>250</v>
      </c>
      <c r="J45" t="s">
        <v>305</v>
      </c>
    </row>
    <row r="46" spans="1:13" x14ac:dyDescent="0.2">
      <c r="A46">
        <v>21476</v>
      </c>
      <c r="B46" t="s">
        <v>6</v>
      </c>
      <c r="C46" t="s">
        <v>62</v>
      </c>
      <c r="D46" t="s">
        <v>59</v>
      </c>
      <c r="E46" t="s">
        <v>60</v>
      </c>
      <c r="G46" t="s">
        <v>262</v>
      </c>
      <c r="J46" s="14" t="s">
        <v>303</v>
      </c>
    </row>
    <row r="47" spans="1:13" x14ac:dyDescent="0.2">
      <c r="A47">
        <v>21476</v>
      </c>
      <c r="B47" t="s">
        <v>6</v>
      </c>
      <c r="C47" t="s">
        <v>63</v>
      </c>
      <c r="E47" t="s">
        <v>59</v>
      </c>
      <c r="F47" t="s">
        <v>60</v>
      </c>
      <c r="G47" t="s">
        <v>297</v>
      </c>
      <c r="J47" s="3" t="s">
        <v>307</v>
      </c>
    </row>
    <row r="48" spans="1:13" x14ac:dyDescent="0.2">
      <c r="A48">
        <v>22713</v>
      </c>
      <c r="B48" t="s">
        <v>6</v>
      </c>
      <c r="C48" t="s">
        <v>64</v>
      </c>
      <c r="D48" s="1">
        <v>44244.000694444447</v>
      </c>
      <c r="E48" t="s">
        <v>65</v>
      </c>
      <c r="G48" t="s">
        <v>297</v>
      </c>
      <c r="J48" s="3" t="s">
        <v>307</v>
      </c>
    </row>
    <row r="49" spans="1:13" x14ac:dyDescent="0.2">
      <c r="A49">
        <v>22713</v>
      </c>
      <c r="B49" t="s">
        <v>6</v>
      </c>
      <c r="C49" t="s">
        <v>66</v>
      </c>
      <c r="E49" s="1">
        <v>44244.000694444447</v>
      </c>
      <c r="F49" t="s">
        <v>65</v>
      </c>
      <c r="G49" t="s">
        <v>248</v>
      </c>
      <c r="J49" s="3" t="s">
        <v>307</v>
      </c>
    </row>
    <row r="50" spans="1:13" x14ac:dyDescent="0.2">
      <c r="A50">
        <v>22713</v>
      </c>
      <c r="B50" t="s">
        <v>6</v>
      </c>
      <c r="C50" t="s">
        <v>67</v>
      </c>
      <c r="E50" s="1">
        <v>44244.000694444447</v>
      </c>
      <c r="F50" t="s">
        <v>65</v>
      </c>
      <c r="G50" t="s">
        <v>263</v>
      </c>
      <c r="J50" t="s">
        <v>305</v>
      </c>
    </row>
    <row r="51" spans="1:13" x14ac:dyDescent="0.2">
      <c r="A51">
        <v>22713</v>
      </c>
      <c r="B51" t="s">
        <v>6</v>
      </c>
      <c r="C51" t="s">
        <v>68</v>
      </c>
      <c r="E51" s="1">
        <v>44244.000694444447</v>
      </c>
      <c r="F51" t="s">
        <v>65</v>
      </c>
      <c r="G51" t="s">
        <v>264</v>
      </c>
      <c r="J51" t="s">
        <v>305</v>
      </c>
    </row>
    <row r="52" spans="1:13" x14ac:dyDescent="0.2">
      <c r="A52">
        <v>22713</v>
      </c>
      <c r="B52" t="s">
        <v>6</v>
      </c>
      <c r="C52" t="s">
        <v>69</v>
      </c>
      <c r="D52" s="1">
        <v>44244.000694444447</v>
      </c>
      <c r="E52" t="s">
        <v>65</v>
      </c>
      <c r="G52" t="s">
        <v>297</v>
      </c>
      <c r="J52" s="3" t="s">
        <v>307</v>
      </c>
    </row>
    <row r="53" spans="1:13" x14ac:dyDescent="0.2">
      <c r="A53">
        <v>22713</v>
      </c>
      <c r="B53" t="s">
        <v>6</v>
      </c>
      <c r="C53" t="s">
        <v>70</v>
      </c>
      <c r="E53" s="1">
        <v>44244.000694444447</v>
      </c>
      <c r="F53" t="s">
        <v>65</v>
      </c>
      <c r="G53" t="s">
        <v>265</v>
      </c>
      <c r="J53" t="s">
        <v>305</v>
      </c>
    </row>
    <row r="54" spans="1:13" x14ac:dyDescent="0.2">
      <c r="A54">
        <v>24440</v>
      </c>
      <c r="B54" t="s">
        <v>6</v>
      </c>
      <c r="C54" t="s">
        <v>71</v>
      </c>
      <c r="E54" s="1">
        <v>44218.805555555555</v>
      </c>
      <c r="F54" t="s">
        <v>72</v>
      </c>
      <c r="G54" t="s">
        <v>247</v>
      </c>
      <c r="J54" t="str">
        <f>IFERROR(
  IF(OR(ISNUMBER(SEARCH("should be existed", G54)), ISNUMBER(SEARCH("should exist", G54)), ISNUMBER(SEARCH("should be in wikidata", G54)), ISNUMBER(SEARCH("exists", G54))), "Should Exist",
  IF(OR(ISNUMBER(SEARCH("need further define", G54)), ISNUMBER(SEARCH("should be further define", G54)), ISNUMBER(SEARCH("unclear", G54)), ISNUMBER(SEARCH("prefix", G54)), ISNUMBER(SEARCH("incomplete", G54))), "Need Clarification",
  IF(OR(ISNUMBER(SEARCH("encoding", G54)), ISNUMBER(SEARCH("‚Ä", G54)), ISNUMBER(SEARCH("â€™", G54)), ISNUMBER(SEARCH("apostrophe", G54)), ISNUMBER(SEARCH("character", G54))), "Encoding Issue",
  IF(OR(ISNUMBER(SEARCH("not an organization", G54)), ISNUMBER(SEARCH("not org", G54)), ISNUMBER(SEARCH("title", G54)), ISNUMBER(SEARCH("initiative", G54)), ISNUMBER(SEARCH("not be considered", G54))), "Not an Organization",
  IF(OR(ISNUMBER(SEARCH("ambiguity", G54)), ISNUMBER(SEARCH("generic", G54)), ISNUMBER(SEARCH("common", G54)), ISNUMBER(SEARCH("similar name", G54))), "Name Ambiguity",
  IF(OR(ISNUMBER(SEARCH("abbreviation", G54)), ISNUMBER(SEARCH("short form", G54)), ISNUMBER(SEARCH("acronym", G54)), ISNUMBER(SEARCH("'s", G54)), ISNUMBER(SEARCH("variant", G54))), "Abbreviation Issue",
  IF(OR(ISNUMBER(SEARCH("does not exist", G54)), ISNUMBER(SEARCH("cannot find", G54)), ISNUMBER(SEARCH("no entry", G54)), ISNUMBER(SEARCH("not found", G54)), ISNUMBER(SEARCH("no such organization", G54))), "Does Not Exist",
  IF(OR(ISNUMBER(SEARCH("wrong classification", G54)), ISNUMBER(SEARCH("misidentified", G54)), ISNUMBER(SEARCH("recognitive error", G54)), ISNUMBER(SEARCH("should not", G54))), "Wrong Classification",
  IF(OR(ISNUMBER(SEARCH("repeated", G54)), ISNUMBER(SEARCH("duplicate", G54))), "Duplicated",
  IF(OR(ISNUMBER(SEARCH("split", G54)), ISNUMBER(SEARCH("separate into 2", G54)), ISNUMBER(SEARCH("contains 2 org", G54))), "Split Needed", "not find on wikidata, but exist")))))))))),"not find on wikidata, but exist")</f>
        <v>Encoding Issue</v>
      </c>
    </row>
    <row r="55" spans="1:13" x14ac:dyDescent="0.2">
      <c r="A55">
        <v>24440</v>
      </c>
      <c r="B55" t="s">
        <v>6</v>
      </c>
      <c r="C55" t="s">
        <v>73</v>
      </c>
      <c r="D55" s="1">
        <v>44218.805555555555</v>
      </c>
      <c r="E55" t="s">
        <v>72</v>
      </c>
      <c r="G55" t="s">
        <v>297</v>
      </c>
      <c r="J55" s="3" t="s">
        <v>307</v>
      </c>
    </row>
    <row r="56" spans="1:13" x14ac:dyDescent="0.2">
      <c r="A56">
        <v>24440</v>
      </c>
      <c r="B56" t="s">
        <v>6</v>
      </c>
      <c r="C56" t="s">
        <v>74</v>
      </c>
      <c r="E56" s="1">
        <v>44218.805555555555</v>
      </c>
      <c r="F56" t="s">
        <v>72</v>
      </c>
      <c r="G56" t="s">
        <v>252</v>
      </c>
      <c r="J56" s="14" t="s">
        <v>303</v>
      </c>
    </row>
    <row r="57" spans="1:13" x14ac:dyDescent="0.2">
      <c r="A57">
        <v>24440</v>
      </c>
      <c r="B57" t="s">
        <v>6</v>
      </c>
      <c r="C57" t="s">
        <v>75</v>
      </c>
      <c r="E57" s="1">
        <v>44218.805555555555</v>
      </c>
      <c r="F57" t="s">
        <v>72</v>
      </c>
      <c r="G57" t="s">
        <v>266</v>
      </c>
      <c r="J57" s="10" t="s">
        <v>307</v>
      </c>
      <c r="K57" s="9" t="s">
        <v>348</v>
      </c>
      <c r="M57" s="18" t="s">
        <v>357</v>
      </c>
    </row>
    <row r="58" spans="1:13" x14ac:dyDescent="0.2">
      <c r="A58">
        <v>24440</v>
      </c>
      <c r="B58" t="s">
        <v>6</v>
      </c>
      <c r="C58" t="s">
        <v>76</v>
      </c>
      <c r="E58" s="1">
        <v>44218.805555555555</v>
      </c>
      <c r="F58" t="s">
        <v>72</v>
      </c>
      <c r="G58" t="s">
        <v>267</v>
      </c>
      <c r="J58" s="7" t="s">
        <v>366</v>
      </c>
      <c r="M58" s="7" t="s">
        <v>326</v>
      </c>
    </row>
    <row r="59" spans="1:13" x14ac:dyDescent="0.2">
      <c r="A59">
        <v>25214</v>
      </c>
      <c r="B59" t="s">
        <v>6</v>
      </c>
      <c r="C59" t="s">
        <v>77</v>
      </c>
      <c r="E59" s="1">
        <v>44222.663888888892</v>
      </c>
      <c r="F59" t="s">
        <v>78</v>
      </c>
      <c r="G59" t="s">
        <v>247</v>
      </c>
      <c r="J59" s="3" t="s">
        <v>307</v>
      </c>
      <c r="K59" t="s">
        <v>351</v>
      </c>
      <c r="M59" s="18" t="s">
        <v>357</v>
      </c>
    </row>
    <row r="60" spans="1:13" x14ac:dyDescent="0.2">
      <c r="A60">
        <v>25214</v>
      </c>
      <c r="B60" t="s">
        <v>6</v>
      </c>
      <c r="C60" t="s">
        <v>79</v>
      </c>
      <c r="D60" s="1">
        <v>44222.663888888892</v>
      </c>
      <c r="E60" t="s">
        <v>78</v>
      </c>
      <c r="G60" t="s">
        <v>297</v>
      </c>
      <c r="J60" s="3" t="s">
        <v>307</v>
      </c>
      <c r="K60" s="13" t="s">
        <v>308</v>
      </c>
      <c r="L60" t="s">
        <v>319</v>
      </c>
      <c r="M60" s="14" t="s">
        <v>303</v>
      </c>
    </row>
    <row r="61" spans="1:13" x14ac:dyDescent="0.2">
      <c r="A61">
        <v>32813</v>
      </c>
      <c r="B61" t="s">
        <v>6</v>
      </c>
      <c r="C61" t="s">
        <v>80</v>
      </c>
      <c r="D61" s="1">
        <v>45422.5625</v>
      </c>
      <c r="E61" t="s">
        <v>81</v>
      </c>
      <c r="G61" t="s">
        <v>247</v>
      </c>
      <c r="J61" t="str">
        <f>IFERROR(
  IF(OR(ISNUMBER(SEARCH("should be existed", G61)), ISNUMBER(SEARCH("should exist", G61)), ISNUMBER(SEARCH("should be in wikidata", G61)), ISNUMBER(SEARCH("exists", G61))), "Should Exist",
  IF(OR(ISNUMBER(SEARCH("need further define", G61)), ISNUMBER(SEARCH("should be further define", G61)), ISNUMBER(SEARCH("unclear", G61)), ISNUMBER(SEARCH("prefix", G61)), ISNUMBER(SEARCH("incomplete", G61))), "Need Clarification",
  IF(OR(ISNUMBER(SEARCH("encoding", G61)), ISNUMBER(SEARCH("‚Ä", G61)), ISNUMBER(SEARCH("â€™", G61)), ISNUMBER(SEARCH("apostrophe", G61)), ISNUMBER(SEARCH("character", G61))), "Encoding Issue",
  IF(OR(ISNUMBER(SEARCH("not an organization", G61)), ISNUMBER(SEARCH("not org", G61)), ISNUMBER(SEARCH("title", G61)), ISNUMBER(SEARCH("initiative", G61)), ISNUMBER(SEARCH("not be considered", G61))), "Not an Organization",
  IF(OR(ISNUMBER(SEARCH("ambiguity", G61)), ISNUMBER(SEARCH("generic", G61)), ISNUMBER(SEARCH("common", G61)), ISNUMBER(SEARCH("similar name", G61))), "Name Ambiguity",
  IF(OR(ISNUMBER(SEARCH("abbreviation", G61)), ISNUMBER(SEARCH("short form", G61)), ISNUMBER(SEARCH("acronym", G61)), ISNUMBER(SEARCH("'s", G61)), ISNUMBER(SEARCH("variant", G61))), "Abbreviation Issue",
  IF(OR(ISNUMBER(SEARCH("does not exist", G61)), ISNUMBER(SEARCH("cannot find", G61)), ISNUMBER(SEARCH("no entry", G61)), ISNUMBER(SEARCH("not found", G61)), ISNUMBER(SEARCH("no such organization", G61))), "Does Not Exist",
  IF(OR(ISNUMBER(SEARCH("wrong classification", G61)), ISNUMBER(SEARCH("misidentified", G61)), ISNUMBER(SEARCH("recognitive error", G61)), ISNUMBER(SEARCH("should not", G61))), "Wrong Classification",
  IF(OR(ISNUMBER(SEARCH("repeated", G61)), ISNUMBER(SEARCH("duplicate", G61))), "Duplicated",
  IF(OR(ISNUMBER(SEARCH("split", G61)), ISNUMBER(SEARCH("separate into 2", G61)), ISNUMBER(SEARCH("contains 2 org", G61))), "Split Needed", "not find on wikidata, but exist")))))))))),"not find on wikidata, but exist")</f>
        <v>Encoding Issue</v>
      </c>
    </row>
    <row r="62" spans="1:13" x14ac:dyDescent="0.2">
      <c r="A62">
        <v>32813</v>
      </c>
      <c r="B62" t="s">
        <v>6</v>
      </c>
      <c r="C62" t="s">
        <v>82</v>
      </c>
      <c r="D62" s="1">
        <v>45422.5625</v>
      </c>
      <c r="E62" t="s">
        <v>81</v>
      </c>
      <c r="G62" t="s">
        <v>255</v>
      </c>
      <c r="J62" s="14" t="str">
        <f>IFERROR(
  IF(OR(ISNUMBER(SEARCH("should be existed", G62)), ISNUMBER(SEARCH("should exist", G62)), ISNUMBER(SEARCH("should be in wikidata", G62)), ISNUMBER(SEARCH("exists", G62))), "Should Exist",
  IF(OR(ISNUMBER(SEARCH("need further define", G62)), ISNUMBER(SEARCH("should be further define", G62)), ISNUMBER(SEARCH("unclear", G62)), ISNUMBER(SEARCH("prefix", G62)), ISNUMBER(SEARCH("incomplete", G62))), "Need Clarification",
  IF(OR(ISNUMBER(SEARCH("encoding", G62)), ISNUMBER(SEARCH("‚Ä", G62)), ISNUMBER(SEARCH("â€™", G62)), ISNUMBER(SEARCH("apostrophe", G62)), ISNUMBER(SEARCH("character", G62))), "Encoding Issue",
  IF(OR(ISNUMBER(SEARCH("not an organization", G62)), ISNUMBER(SEARCH("not org", G62)), ISNUMBER(SEARCH("title", G62)), ISNUMBER(SEARCH("initiative", G62)), ISNUMBER(SEARCH("not be considered", G62))), "Not an Organization",
  IF(OR(ISNUMBER(SEARCH("ambiguity", G62)), ISNUMBER(SEARCH("generic", G62)), ISNUMBER(SEARCH("common", G62)), ISNUMBER(SEARCH("similar name", G62))), "Name Ambiguity",
  IF(OR(ISNUMBER(SEARCH("abbreviation", G62)), ISNUMBER(SEARCH("short form", G62)), ISNUMBER(SEARCH("acronym", G62)), ISNUMBER(SEARCH("'s", G62)), ISNUMBER(SEARCH("variant", G62))), "Abbreviation Issue",
  IF(OR(ISNUMBER(SEARCH("does not exist", G62)), ISNUMBER(SEARCH("cannot find", G62)), ISNUMBER(SEARCH("no entry", G62)), ISNUMBER(SEARCH("not found", G62)), ISNUMBER(SEARCH("no such organization", G62))), "Does Not Exist",
  IF(OR(ISNUMBER(SEARCH("wrong classification", G62)), ISNUMBER(SEARCH("misidentified", G62)), ISNUMBER(SEARCH("recognitive error", G62)), ISNUMBER(SEARCH("should not", G62))), "Wrong Classification",
  IF(OR(ISNUMBER(SEARCH("repeated", G62)), ISNUMBER(SEARCH("duplicate", G62))), "Duplicated",
  IF(OR(ISNUMBER(SEARCH("split", G62)), ISNUMBER(SEARCH("separate into 2", G62)), ISNUMBER(SEARCH("contains 2 org", G62))), "Split Needed", "not find on wikidata, but exist")))))))))),"not find on wikidata, but exist")</f>
        <v>Name Ambiguity</v>
      </c>
    </row>
    <row r="63" spans="1:13" x14ac:dyDescent="0.2">
      <c r="A63">
        <v>32813</v>
      </c>
      <c r="B63" t="s">
        <v>6</v>
      </c>
      <c r="C63" t="s">
        <v>83</v>
      </c>
      <c r="E63" s="1">
        <v>45422.5625</v>
      </c>
      <c r="F63" t="s">
        <v>81</v>
      </c>
      <c r="G63" t="s">
        <v>269</v>
      </c>
      <c r="J63" t="s">
        <v>305</v>
      </c>
    </row>
    <row r="64" spans="1:13" x14ac:dyDescent="0.2">
      <c r="A64">
        <v>32813</v>
      </c>
      <c r="B64" t="s">
        <v>6</v>
      </c>
      <c r="C64" t="s">
        <v>84</v>
      </c>
      <c r="D64" s="1">
        <v>45422.5625</v>
      </c>
      <c r="E64" t="s">
        <v>81</v>
      </c>
      <c r="G64" t="s">
        <v>297</v>
      </c>
      <c r="J64" s="3" t="s">
        <v>307</v>
      </c>
    </row>
    <row r="65" spans="1:13" x14ac:dyDescent="0.2">
      <c r="A65">
        <v>32813</v>
      </c>
      <c r="B65" t="s">
        <v>6</v>
      </c>
      <c r="C65" t="s">
        <v>85</v>
      </c>
      <c r="D65" s="1">
        <v>45422.5625</v>
      </c>
      <c r="E65" t="s">
        <v>81</v>
      </c>
      <c r="G65" t="s">
        <v>320</v>
      </c>
      <c r="J65" s="14" t="s">
        <v>303</v>
      </c>
    </row>
    <row r="66" spans="1:13" x14ac:dyDescent="0.2">
      <c r="A66">
        <v>32813</v>
      </c>
      <c r="B66" t="s">
        <v>6</v>
      </c>
      <c r="C66" t="s">
        <v>86</v>
      </c>
      <c r="E66" s="1">
        <v>45422.5625</v>
      </c>
      <c r="F66" t="s">
        <v>81</v>
      </c>
      <c r="G66" t="s">
        <v>268</v>
      </c>
      <c r="J66" s="7" t="s">
        <v>366</v>
      </c>
      <c r="M66" s="7" t="s">
        <v>326</v>
      </c>
    </row>
    <row r="67" spans="1:13" x14ac:dyDescent="0.2">
      <c r="A67">
        <v>36511</v>
      </c>
      <c r="B67" t="s">
        <v>6</v>
      </c>
      <c r="C67" t="s">
        <v>87</v>
      </c>
      <c r="D67" s="1">
        <v>45513.854166666664</v>
      </c>
      <c r="E67" t="s">
        <v>88</v>
      </c>
      <c r="G67" t="s">
        <v>297</v>
      </c>
      <c r="J67" s="3" t="s">
        <v>307</v>
      </c>
    </row>
    <row r="68" spans="1:13" x14ac:dyDescent="0.2">
      <c r="A68">
        <v>36511</v>
      </c>
      <c r="B68" t="s">
        <v>6</v>
      </c>
      <c r="C68" t="s">
        <v>89</v>
      </c>
      <c r="E68" s="1">
        <v>45513.854166666664</v>
      </c>
      <c r="F68" t="s">
        <v>88</v>
      </c>
      <c r="G68" t="s">
        <v>355</v>
      </c>
      <c r="J68" t="s">
        <v>305</v>
      </c>
    </row>
    <row r="69" spans="1:13" x14ac:dyDescent="0.2">
      <c r="A69">
        <v>36511</v>
      </c>
      <c r="B69" t="s">
        <v>6</v>
      </c>
      <c r="C69" t="s">
        <v>90</v>
      </c>
      <c r="E69" s="1">
        <v>45513.854166666664</v>
      </c>
      <c r="F69" t="s">
        <v>88</v>
      </c>
      <c r="G69" t="s">
        <v>356</v>
      </c>
      <c r="J69" s="14" t="s">
        <v>303</v>
      </c>
    </row>
    <row r="70" spans="1:13" x14ac:dyDescent="0.2">
      <c r="A70">
        <v>36511</v>
      </c>
      <c r="B70" t="s">
        <v>6</v>
      </c>
      <c r="C70" t="s">
        <v>91</v>
      </c>
      <c r="D70" s="1">
        <v>45513.854166666664</v>
      </c>
      <c r="E70" t="s">
        <v>88</v>
      </c>
      <c r="G70" t="s">
        <v>297</v>
      </c>
      <c r="J70" s="3" t="s">
        <v>307</v>
      </c>
      <c r="K70" s="13" t="s">
        <v>308</v>
      </c>
      <c r="L70" t="s">
        <v>324</v>
      </c>
      <c r="M70" s="19" t="s">
        <v>363</v>
      </c>
    </row>
    <row r="71" spans="1:13" x14ac:dyDescent="0.2">
      <c r="A71">
        <v>36511</v>
      </c>
      <c r="B71" t="s">
        <v>6</v>
      </c>
      <c r="C71" t="s">
        <v>92</v>
      </c>
      <c r="D71" s="1">
        <v>45513.854166666664</v>
      </c>
      <c r="E71" t="s">
        <v>88</v>
      </c>
      <c r="G71" t="s">
        <v>268</v>
      </c>
      <c r="J71" s="7" t="s">
        <v>366</v>
      </c>
      <c r="M71" s="7" t="s">
        <v>326</v>
      </c>
    </row>
    <row r="72" spans="1:13" x14ac:dyDescent="0.2">
      <c r="A72">
        <v>36511</v>
      </c>
      <c r="B72" t="s">
        <v>6</v>
      </c>
      <c r="C72" t="s">
        <v>93</v>
      </c>
      <c r="D72" s="1">
        <v>45513.854166666664</v>
      </c>
      <c r="E72" t="s">
        <v>88</v>
      </c>
      <c r="G72" t="s">
        <v>270</v>
      </c>
      <c r="J72" s="7" t="s">
        <v>366</v>
      </c>
      <c r="K72" t="s">
        <v>354</v>
      </c>
      <c r="M72" s="7" t="s">
        <v>326</v>
      </c>
    </row>
    <row r="73" spans="1:13" x14ac:dyDescent="0.2">
      <c r="A73">
        <v>36511</v>
      </c>
      <c r="B73" t="s">
        <v>6</v>
      </c>
      <c r="C73" t="s">
        <v>94</v>
      </c>
      <c r="E73" s="1">
        <v>45513.854166666664</v>
      </c>
      <c r="F73" t="s">
        <v>88</v>
      </c>
      <c r="G73" t="s">
        <v>297</v>
      </c>
      <c r="J73" s="3" t="s">
        <v>307</v>
      </c>
      <c r="K73" t="s">
        <v>310</v>
      </c>
    </row>
    <row r="74" spans="1:13" x14ac:dyDescent="0.2">
      <c r="A74">
        <v>36511</v>
      </c>
      <c r="B74" t="s">
        <v>6</v>
      </c>
      <c r="C74" t="s">
        <v>95</v>
      </c>
      <c r="E74" s="1">
        <v>45513.854166666664</v>
      </c>
      <c r="F74" t="s">
        <v>88</v>
      </c>
      <c r="G74" t="s">
        <v>271</v>
      </c>
      <c r="J74" s="14" t="str">
        <f t="shared" ref="J74:J76" si="2">IFERROR(
  IF(OR(ISNUMBER(SEARCH("should be existed", G74)), ISNUMBER(SEARCH("should exist", G74)), ISNUMBER(SEARCH("should be in wikidata", G74)), ISNUMBER(SEARCH("exists", G74))), "Should Exist",
  IF(OR(ISNUMBER(SEARCH("need further define", G74)), ISNUMBER(SEARCH("should be further define", G74)), ISNUMBER(SEARCH("unclear", G74)), ISNUMBER(SEARCH("prefix", G74)), ISNUMBER(SEARCH("incomplete", G74))), "Need Clarification",
  IF(OR(ISNUMBER(SEARCH("encoding", G74)), ISNUMBER(SEARCH("‚Ä", G74)), ISNUMBER(SEARCH("â€™", G74)), ISNUMBER(SEARCH("apostrophe", G74)), ISNUMBER(SEARCH("character", G74))), "Encoding Issue",
  IF(OR(ISNUMBER(SEARCH("not an organization", G74)), ISNUMBER(SEARCH("not org", G74)), ISNUMBER(SEARCH("title", G74)), ISNUMBER(SEARCH("initiative", G74)), ISNUMBER(SEARCH("not be considered", G74))), "Not an Organization",
  IF(OR(ISNUMBER(SEARCH("ambiguity", G74)), ISNUMBER(SEARCH("generic", G74)), ISNUMBER(SEARCH("common", G74)), ISNUMBER(SEARCH("similar name", G74))), "Name Ambiguity",
  IF(OR(ISNUMBER(SEARCH("abbreviation", G74)), ISNUMBER(SEARCH("short form", G74)), ISNUMBER(SEARCH("acronym", G74)), ISNUMBER(SEARCH("'s", G74)), ISNUMBER(SEARCH("variant", G74))), "Abbreviation Issue",
  IF(OR(ISNUMBER(SEARCH("does not exist", G74)), ISNUMBER(SEARCH("cannot find", G74)), ISNUMBER(SEARCH("no entry", G74)), ISNUMBER(SEARCH("not found", G74)), ISNUMBER(SEARCH("no such organization", G74))), "Does Not Exist",
  IF(OR(ISNUMBER(SEARCH("wrong classification", G74)), ISNUMBER(SEARCH("misidentified", G74)), ISNUMBER(SEARCH("recognitive error", G74)), ISNUMBER(SEARCH("should not", G74))), "Wrong Classification",
  IF(OR(ISNUMBER(SEARCH("repeated", G74)), ISNUMBER(SEARCH("duplicate", G74))), "Duplicated",
  IF(OR(ISNUMBER(SEARCH("split", G74)), ISNUMBER(SEARCH("separate into 2", G74)), ISNUMBER(SEARCH("contains 2 org", G74))), "Split Needed", "not find on wikidata, but exist")))))))))),"not find on wikidata, but exist")</f>
        <v>Name Ambiguity</v>
      </c>
    </row>
    <row r="75" spans="1:13" x14ac:dyDescent="0.2">
      <c r="A75">
        <v>36511</v>
      </c>
      <c r="B75" t="s">
        <v>6</v>
      </c>
      <c r="C75" t="s">
        <v>96</v>
      </c>
      <c r="D75" s="1">
        <v>45513.854166666664</v>
      </c>
      <c r="E75" t="s">
        <v>88</v>
      </c>
      <c r="G75" t="s">
        <v>297</v>
      </c>
      <c r="J75" s="17" t="str">
        <f t="shared" si="2"/>
        <v>Should Exist</v>
      </c>
    </row>
    <row r="76" spans="1:13" x14ac:dyDescent="0.2">
      <c r="A76">
        <v>39429</v>
      </c>
      <c r="B76" t="s">
        <v>6</v>
      </c>
      <c r="C76" t="s">
        <v>97</v>
      </c>
      <c r="D76" s="1">
        <v>45555.046527777777</v>
      </c>
      <c r="E76" t="s">
        <v>98</v>
      </c>
      <c r="G76" t="s">
        <v>272</v>
      </c>
      <c r="J76" s="14" t="str">
        <f t="shared" si="2"/>
        <v>Name Ambiguity</v>
      </c>
    </row>
    <row r="77" spans="1:13" x14ac:dyDescent="0.2">
      <c r="A77">
        <v>39932</v>
      </c>
      <c r="B77" t="s">
        <v>6</v>
      </c>
      <c r="C77" t="s">
        <v>99</v>
      </c>
      <c r="E77" s="1">
        <v>45426.239583333336</v>
      </c>
      <c r="F77" t="s">
        <v>100</v>
      </c>
      <c r="G77" t="s">
        <v>268</v>
      </c>
      <c r="J77" s="7" t="s">
        <v>366</v>
      </c>
      <c r="M77" s="7" t="s">
        <v>326</v>
      </c>
    </row>
    <row r="78" spans="1:13" x14ac:dyDescent="0.2">
      <c r="A78">
        <v>39932</v>
      </c>
      <c r="B78" t="s">
        <v>6</v>
      </c>
      <c r="C78" t="s">
        <v>101</v>
      </c>
      <c r="D78" s="1">
        <v>45426.239583333336</v>
      </c>
      <c r="E78" t="s">
        <v>100</v>
      </c>
      <c r="G78" t="s">
        <v>273</v>
      </c>
      <c r="J78" s="14" t="s">
        <v>303</v>
      </c>
    </row>
    <row r="79" spans="1:13" x14ac:dyDescent="0.2">
      <c r="A79">
        <v>39932</v>
      </c>
      <c r="B79" t="s">
        <v>6</v>
      </c>
      <c r="C79" t="s">
        <v>102</v>
      </c>
      <c r="E79" s="1">
        <v>45426.239583333336</v>
      </c>
      <c r="F79" t="s">
        <v>100</v>
      </c>
      <c r="G79" t="s">
        <v>332</v>
      </c>
      <c r="J79" s="7" t="s">
        <v>366</v>
      </c>
      <c r="M79" s="7" t="s">
        <v>326</v>
      </c>
    </row>
    <row r="80" spans="1:13" x14ac:dyDescent="0.2">
      <c r="A80">
        <v>39932</v>
      </c>
      <c r="B80" t="s">
        <v>6</v>
      </c>
      <c r="C80" t="s">
        <v>103</v>
      </c>
      <c r="E80" s="1">
        <v>45426.239583333336</v>
      </c>
      <c r="F80" t="s">
        <v>100</v>
      </c>
      <c r="G80" t="s">
        <v>255</v>
      </c>
      <c r="J80" s="14" t="str">
        <f t="shared" ref="J80:J84" si="3">IFERROR(
  IF(OR(ISNUMBER(SEARCH("should be existed", G80)), ISNUMBER(SEARCH("should exist", G80)), ISNUMBER(SEARCH("should be in wikidata", G80)), ISNUMBER(SEARCH("exists", G80))), "Should Exist",
  IF(OR(ISNUMBER(SEARCH("need further define", G80)), ISNUMBER(SEARCH("should be further define", G80)), ISNUMBER(SEARCH("unclear", G80)), ISNUMBER(SEARCH("prefix", G80)), ISNUMBER(SEARCH("incomplete", G80))), "Need Clarification",
  IF(OR(ISNUMBER(SEARCH("encoding", G80)), ISNUMBER(SEARCH("‚Ä", G80)), ISNUMBER(SEARCH("â€™", G80)), ISNUMBER(SEARCH("apostrophe", G80)), ISNUMBER(SEARCH("character", G80))), "Encoding Issue",
  IF(OR(ISNUMBER(SEARCH("not an organization", G80)), ISNUMBER(SEARCH("not org", G80)), ISNUMBER(SEARCH("title", G80)), ISNUMBER(SEARCH("initiative", G80)), ISNUMBER(SEARCH("not be considered", G80))), "Not an Organization",
  IF(OR(ISNUMBER(SEARCH("ambiguity", G80)), ISNUMBER(SEARCH("generic", G80)), ISNUMBER(SEARCH("common", G80)), ISNUMBER(SEARCH("similar name", G80))), "Name Ambiguity",
  IF(OR(ISNUMBER(SEARCH("abbreviation", G80)), ISNUMBER(SEARCH("short form", G80)), ISNUMBER(SEARCH("acronym", G80)), ISNUMBER(SEARCH("'s", G80)), ISNUMBER(SEARCH("variant", G80))), "Abbreviation Issue",
  IF(OR(ISNUMBER(SEARCH("does not exist", G80)), ISNUMBER(SEARCH("cannot find", G80)), ISNUMBER(SEARCH("no entry", G80)), ISNUMBER(SEARCH("not found", G80)), ISNUMBER(SEARCH("no such organization", G80))), "Does Not Exist",
  IF(OR(ISNUMBER(SEARCH("wrong classification", G80)), ISNUMBER(SEARCH("misidentified", G80)), ISNUMBER(SEARCH("recognitive error", G80)), ISNUMBER(SEARCH("should not", G80))), "Wrong Classification",
  IF(OR(ISNUMBER(SEARCH("repeated", G80)), ISNUMBER(SEARCH("duplicate", G80))), "Duplicated",
  IF(OR(ISNUMBER(SEARCH("split", G80)), ISNUMBER(SEARCH("separate into 2", G80)), ISNUMBER(SEARCH("contains 2 org", G80))), "Split Needed", "not find on wikidata, but exist")))))))))),"not find on wikidata, but exist")</f>
        <v>Name Ambiguity</v>
      </c>
    </row>
    <row r="81" spans="1:13" x14ac:dyDescent="0.2">
      <c r="A81">
        <v>39932</v>
      </c>
      <c r="B81" t="s">
        <v>6</v>
      </c>
      <c r="C81" t="s">
        <v>104</v>
      </c>
      <c r="D81" s="1">
        <v>45426.239583333336</v>
      </c>
      <c r="E81" t="s">
        <v>100</v>
      </c>
      <c r="G81" t="s">
        <v>297</v>
      </c>
      <c r="J81" s="3" t="s">
        <v>307</v>
      </c>
      <c r="K81" s="13" t="s">
        <v>308</v>
      </c>
      <c r="L81" t="s">
        <v>346</v>
      </c>
      <c r="M81" s="19" t="s">
        <v>363</v>
      </c>
    </row>
    <row r="82" spans="1:13" x14ac:dyDescent="0.2">
      <c r="A82">
        <v>40235</v>
      </c>
      <c r="B82" t="s">
        <v>6</v>
      </c>
      <c r="C82" t="s">
        <v>105</v>
      </c>
      <c r="D82" s="1">
        <v>45028.681250000001</v>
      </c>
      <c r="E82" t="s">
        <v>106</v>
      </c>
      <c r="G82" t="s">
        <v>255</v>
      </c>
      <c r="J82" s="14" t="str">
        <f t="shared" si="3"/>
        <v>Name Ambiguity</v>
      </c>
    </row>
    <row r="83" spans="1:13" x14ac:dyDescent="0.2">
      <c r="A83">
        <v>40235</v>
      </c>
      <c r="B83" t="s">
        <v>6</v>
      </c>
      <c r="C83" t="s">
        <v>107</v>
      </c>
      <c r="D83" s="1">
        <v>45028.681250000001</v>
      </c>
      <c r="E83" t="s">
        <v>106</v>
      </c>
      <c r="G83" t="s">
        <v>268</v>
      </c>
      <c r="J83" s="7" t="s">
        <v>366</v>
      </c>
      <c r="M83" s="7" t="s">
        <v>326</v>
      </c>
    </row>
    <row r="84" spans="1:13" x14ac:dyDescent="0.2">
      <c r="A84">
        <v>40235</v>
      </c>
      <c r="B84" t="s">
        <v>6</v>
      </c>
      <c r="C84" t="s">
        <v>108</v>
      </c>
      <c r="E84" s="1">
        <v>45028.681250000001</v>
      </c>
      <c r="F84" t="s">
        <v>106</v>
      </c>
      <c r="G84" t="s">
        <v>255</v>
      </c>
      <c r="J84" s="14" t="str">
        <f t="shared" si="3"/>
        <v>Name Ambiguity</v>
      </c>
    </row>
    <row r="85" spans="1:13" x14ac:dyDescent="0.2">
      <c r="A85">
        <v>40266</v>
      </c>
      <c r="B85" t="s">
        <v>6</v>
      </c>
      <c r="C85" t="s">
        <v>109</v>
      </c>
      <c r="E85" s="1">
        <v>44928.625</v>
      </c>
      <c r="F85" t="s">
        <v>110</v>
      </c>
      <c r="G85" t="s">
        <v>297</v>
      </c>
      <c r="J85" s="3" t="s">
        <v>307</v>
      </c>
      <c r="K85" s="13" t="s">
        <v>308</v>
      </c>
      <c r="L85" t="s">
        <v>321</v>
      </c>
      <c r="M85" s="14" t="s">
        <v>358</v>
      </c>
    </row>
    <row r="86" spans="1:13" x14ac:dyDescent="0.2">
      <c r="A86">
        <v>40266</v>
      </c>
      <c r="B86" t="s">
        <v>6</v>
      </c>
      <c r="C86" t="s">
        <v>111</v>
      </c>
      <c r="D86" s="1">
        <v>44928.625</v>
      </c>
      <c r="E86" t="s">
        <v>110</v>
      </c>
      <c r="G86" t="s">
        <v>248</v>
      </c>
      <c r="J86" s="14" t="s">
        <v>303</v>
      </c>
    </row>
    <row r="87" spans="1:13" x14ac:dyDescent="0.2">
      <c r="A87">
        <v>40266</v>
      </c>
      <c r="B87" t="s">
        <v>6</v>
      </c>
      <c r="C87" t="s">
        <v>112</v>
      </c>
      <c r="E87" s="1">
        <v>44928.625</v>
      </c>
      <c r="F87" t="s">
        <v>110</v>
      </c>
      <c r="G87" t="s">
        <v>297</v>
      </c>
      <c r="J87" s="3" t="s">
        <v>307</v>
      </c>
      <c r="K87" t="s">
        <v>309</v>
      </c>
    </row>
    <row r="88" spans="1:13" x14ac:dyDescent="0.2">
      <c r="A88">
        <v>42537</v>
      </c>
      <c r="B88" t="s">
        <v>6</v>
      </c>
      <c r="C88" t="s">
        <v>113</v>
      </c>
      <c r="E88" s="1">
        <v>45043.451388888891</v>
      </c>
      <c r="F88" t="s">
        <v>114</v>
      </c>
      <c r="G88" t="s">
        <v>255</v>
      </c>
      <c r="J88" s="14" t="str">
        <f>IFERROR(
  IF(OR(ISNUMBER(SEARCH("should be existed", G88)), ISNUMBER(SEARCH("should exist", G88)), ISNUMBER(SEARCH("should be in wikidata", G88)), ISNUMBER(SEARCH("exists", G88))), "Should Exist",
  IF(OR(ISNUMBER(SEARCH("need further define", G88)), ISNUMBER(SEARCH("should be further define", G88)), ISNUMBER(SEARCH("unclear", G88)), ISNUMBER(SEARCH("prefix", G88)), ISNUMBER(SEARCH("incomplete", G88))), "Need Clarification",
  IF(OR(ISNUMBER(SEARCH("encoding", G88)), ISNUMBER(SEARCH("‚Ä", G88)), ISNUMBER(SEARCH("â€™", G88)), ISNUMBER(SEARCH("apostrophe", G88)), ISNUMBER(SEARCH("character", G88))), "Encoding Issue",
  IF(OR(ISNUMBER(SEARCH("not an organization", G88)), ISNUMBER(SEARCH("not org", G88)), ISNUMBER(SEARCH("title", G88)), ISNUMBER(SEARCH("initiative", G88)), ISNUMBER(SEARCH("not be considered", G88))), "Not an Organization",
  IF(OR(ISNUMBER(SEARCH("ambiguity", G88)), ISNUMBER(SEARCH("generic", G88)), ISNUMBER(SEARCH("common", G88)), ISNUMBER(SEARCH("similar name", G88))), "Name Ambiguity",
  IF(OR(ISNUMBER(SEARCH("abbreviation", G88)), ISNUMBER(SEARCH("short form", G88)), ISNUMBER(SEARCH("acronym", G88)), ISNUMBER(SEARCH("'s", G88)), ISNUMBER(SEARCH("variant", G88))), "Abbreviation Issue",
  IF(OR(ISNUMBER(SEARCH("does not exist", G88)), ISNUMBER(SEARCH("cannot find", G88)), ISNUMBER(SEARCH("no entry", G88)), ISNUMBER(SEARCH("not found", G88)), ISNUMBER(SEARCH("no such organization", G88))), "Does Not Exist",
  IF(OR(ISNUMBER(SEARCH("wrong classification", G88)), ISNUMBER(SEARCH("misidentified", G88)), ISNUMBER(SEARCH("recognitive error", G88)), ISNUMBER(SEARCH("should not", G88))), "Wrong Classification",
  IF(OR(ISNUMBER(SEARCH("repeated", G88)), ISNUMBER(SEARCH("duplicate", G88))), "Duplicated",
  IF(OR(ISNUMBER(SEARCH("split", G88)), ISNUMBER(SEARCH("separate into 2", G88)), ISNUMBER(SEARCH("contains 2 org", G88))), "Split Needed", "not find on wikidata, but exist")))))))))),"not find on wikidata, but exist")</f>
        <v>Name Ambiguity</v>
      </c>
    </row>
    <row r="89" spans="1:13" x14ac:dyDescent="0.2">
      <c r="A89">
        <v>43042</v>
      </c>
      <c r="B89" t="s">
        <v>6</v>
      </c>
      <c r="C89" t="s">
        <v>115</v>
      </c>
      <c r="E89" s="1">
        <v>44976.48333333333</v>
      </c>
      <c r="F89" t="s">
        <v>116</v>
      </c>
      <c r="G89" t="s">
        <v>297</v>
      </c>
      <c r="J89" s="3" t="s">
        <v>307</v>
      </c>
      <c r="K89" s="13" t="s">
        <v>308</v>
      </c>
      <c r="L89" t="s">
        <v>322</v>
      </c>
      <c r="M89" s="14" t="s">
        <v>358</v>
      </c>
    </row>
    <row r="90" spans="1:13" x14ac:dyDescent="0.2">
      <c r="A90">
        <v>43042</v>
      </c>
      <c r="B90" t="s">
        <v>6</v>
      </c>
      <c r="C90" t="s">
        <v>117</v>
      </c>
      <c r="E90" s="1">
        <v>44976.48333333333</v>
      </c>
      <c r="F90" t="s">
        <v>116</v>
      </c>
      <c r="G90" t="s">
        <v>274</v>
      </c>
      <c r="J90" t="s">
        <v>305</v>
      </c>
    </row>
    <row r="91" spans="1:13" x14ac:dyDescent="0.2">
      <c r="A91">
        <v>43042</v>
      </c>
      <c r="B91" t="s">
        <v>6</v>
      </c>
      <c r="C91" t="s">
        <v>118</v>
      </c>
      <c r="E91" s="1">
        <v>44976.48333333333</v>
      </c>
      <c r="F91" t="s">
        <v>116</v>
      </c>
      <c r="G91" t="s">
        <v>268</v>
      </c>
      <c r="J91" s="7" t="s">
        <v>366</v>
      </c>
      <c r="M91" s="7" t="s">
        <v>326</v>
      </c>
    </row>
    <row r="92" spans="1:13" x14ac:dyDescent="0.2">
      <c r="A92">
        <v>43042</v>
      </c>
      <c r="B92" t="s">
        <v>6</v>
      </c>
      <c r="C92" t="s">
        <v>119</v>
      </c>
      <c r="E92" s="1">
        <v>44976.48333333333</v>
      </c>
      <c r="F92" t="s">
        <v>116</v>
      </c>
      <c r="G92" t="s">
        <v>300</v>
      </c>
      <c r="J92" s="14" t="s">
        <v>303</v>
      </c>
    </row>
    <row r="93" spans="1:13" x14ac:dyDescent="0.2">
      <c r="A93">
        <v>43042</v>
      </c>
      <c r="B93" t="s">
        <v>6</v>
      </c>
      <c r="C93" t="s">
        <v>120</v>
      </c>
      <c r="E93" s="1">
        <v>44976.48333333333</v>
      </c>
      <c r="F93" t="s">
        <v>116</v>
      </c>
      <c r="G93" t="s">
        <v>275</v>
      </c>
      <c r="J93" s="3" t="s">
        <v>307</v>
      </c>
      <c r="K93" s="12" t="s">
        <v>311</v>
      </c>
      <c r="M93" s="18" t="s">
        <v>357</v>
      </c>
    </row>
    <row r="94" spans="1:13" x14ac:dyDescent="0.2">
      <c r="A94">
        <v>43042</v>
      </c>
      <c r="B94" t="s">
        <v>6</v>
      </c>
      <c r="C94" t="s">
        <v>121</v>
      </c>
      <c r="E94" s="1">
        <v>44976.48333333333</v>
      </c>
      <c r="F94" t="s">
        <v>116</v>
      </c>
      <c r="G94" t="s">
        <v>297</v>
      </c>
      <c r="J94" s="3" t="s">
        <v>307</v>
      </c>
      <c r="K94" s="13" t="s">
        <v>308</v>
      </c>
      <c r="L94" t="s">
        <v>324</v>
      </c>
      <c r="M94" s="19" t="s">
        <v>363</v>
      </c>
    </row>
    <row r="95" spans="1:13" x14ac:dyDescent="0.2">
      <c r="A95">
        <v>43725</v>
      </c>
      <c r="B95" t="s">
        <v>6</v>
      </c>
      <c r="C95" t="s">
        <v>122</v>
      </c>
      <c r="E95" s="1">
        <v>45014.55</v>
      </c>
      <c r="F95" t="s">
        <v>123</v>
      </c>
      <c r="G95" t="s">
        <v>297</v>
      </c>
      <c r="J95" s="3" t="s">
        <v>307</v>
      </c>
    </row>
    <row r="96" spans="1:13" x14ac:dyDescent="0.2">
      <c r="A96">
        <v>43906</v>
      </c>
      <c r="B96" t="s">
        <v>6</v>
      </c>
      <c r="C96" t="s">
        <v>124</v>
      </c>
      <c r="E96" s="1">
        <v>44939.454861111109</v>
      </c>
      <c r="F96" t="s">
        <v>125</v>
      </c>
      <c r="G96" t="s">
        <v>276</v>
      </c>
      <c r="J96" s="7" t="s">
        <v>366</v>
      </c>
      <c r="M96" s="7" t="s">
        <v>326</v>
      </c>
    </row>
    <row r="97" spans="1:13" x14ac:dyDescent="0.2">
      <c r="A97">
        <v>43906</v>
      </c>
      <c r="B97" t="s">
        <v>6</v>
      </c>
      <c r="C97" t="s">
        <v>126</v>
      </c>
      <c r="E97" s="1">
        <v>44939.454861111109</v>
      </c>
      <c r="F97" t="s">
        <v>125</v>
      </c>
      <c r="G97" t="s">
        <v>297</v>
      </c>
      <c r="J97" s="3" t="s">
        <v>307</v>
      </c>
    </row>
    <row r="98" spans="1:13" x14ac:dyDescent="0.2">
      <c r="A98">
        <v>43906</v>
      </c>
      <c r="B98" t="s">
        <v>6</v>
      </c>
      <c r="C98" t="s">
        <v>127</v>
      </c>
      <c r="D98" s="1">
        <v>44939.454861111109</v>
      </c>
      <c r="E98" t="s">
        <v>125</v>
      </c>
      <c r="G98" t="s">
        <v>297</v>
      </c>
      <c r="J98" s="3" t="s">
        <v>307</v>
      </c>
    </row>
    <row r="99" spans="1:13" x14ac:dyDescent="0.2">
      <c r="A99">
        <v>43906</v>
      </c>
      <c r="B99" t="s">
        <v>6</v>
      </c>
      <c r="C99" t="s">
        <v>128</v>
      </c>
      <c r="E99" s="1">
        <v>44939.454861111109</v>
      </c>
      <c r="F99" t="s">
        <v>125</v>
      </c>
      <c r="G99" t="s">
        <v>325</v>
      </c>
      <c r="J99" s="7" t="s">
        <v>366</v>
      </c>
      <c r="M99" s="7" t="s">
        <v>326</v>
      </c>
    </row>
    <row r="100" spans="1:13" x14ac:dyDescent="0.2">
      <c r="A100">
        <v>43906</v>
      </c>
      <c r="B100" t="s">
        <v>6</v>
      </c>
      <c r="C100" t="s">
        <v>129</v>
      </c>
      <c r="E100" s="1">
        <v>44939.454861111109</v>
      </c>
      <c r="F100" t="s">
        <v>125</v>
      </c>
      <c r="G100" t="s">
        <v>325</v>
      </c>
      <c r="J100" s="20" t="s">
        <v>366</v>
      </c>
      <c r="M100" s="7" t="s">
        <v>326</v>
      </c>
    </row>
    <row r="101" spans="1:13" x14ac:dyDescent="0.2">
      <c r="A101">
        <v>45413</v>
      </c>
      <c r="B101" t="s">
        <v>6</v>
      </c>
      <c r="C101" t="s">
        <v>130</v>
      </c>
      <c r="E101" s="1">
        <v>45036</v>
      </c>
      <c r="F101" t="s">
        <v>131</v>
      </c>
      <c r="G101" t="s">
        <v>268</v>
      </c>
      <c r="J101" s="20" t="s">
        <v>366</v>
      </c>
      <c r="M101" s="7" t="s">
        <v>326</v>
      </c>
    </row>
    <row r="102" spans="1:13" x14ac:dyDescent="0.2">
      <c r="A102">
        <v>45413</v>
      </c>
      <c r="B102" t="s">
        <v>6</v>
      </c>
      <c r="C102" t="s">
        <v>132</v>
      </c>
      <c r="D102" s="1">
        <v>45036</v>
      </c>
      <c r="E102" t="s">
        <v>131</v>
      </c>
      <c r="G102" t="s">
        <v>297</v>
      </c>
      <c r="J102" s="3" t="s">
        <v>307</v>
      </c>
      <c r="K102" s="13" t="s">
        <v>308</v>
      </c>
      <c r="L102" t="s">
        <v>324</v>
      </c>
      <c r="M102" s="19" t="s">
        <v>363</v>
      </c>
    </row>
    <row r="103" spans="1:13" x14ac:dyDescent="0.2">
      <c r="A103">
        <v>45413</v>
      </c>
      <c r="B103" t="s">
        <v>6</v>
      </c>
      <c r="C103" t="s">
        <v>133</v>
      </c>
      <c r="E103" s="1">
        <v>45036</v>
      </c>
      <c r="F103" t="s">
        <v>131</v>
      </c>
      <c r="G103" t="s">
        <v>257</v>
      </c>
      <c r="J103" s="14" t="s">
        <v>303</v>
      </c>
    </row>
    <row r="104" spans="1:13" x14ac:dyDescent="0.2">
      <c r="A104">
        <v>45413</v>
      </c>
      <c r="B104" t="s">
        <v>6</v>
      </c>
      <c r="C104" t="s">
        <v>134</v>
      </c>
      <c r="E104" s="1">
        <v>45036</v>
      </c>
      <c r="F104" t="s">
        <v>131</v>
      </c>
      <c r="G104" t="s">
        <v>297</v>
      </c>
      <c r="J104" s="3" t="s">
        <v>307</v>
      </c>
    </row>
    <row r="105" spans="1:13" x14ac:dyDescent="0.2">
      <c r="A105">
        <v>45413</v>
      </c>
      <c r="B105" t="s">
        <v>6</v>
      </c>
      <c r="C105" t="s">
        <v>135</v>
      </c>
      <c r="D105" s="1">
        <v>45036</v>
      </c>
      <c r="E105" t="s">
        <v>131</v>
      </c>
      <c r="G105" t="s">
        <v>297</v>
      </c>
      <c r="J105" s="3" t="s">
        <v>307</v>
      </c>
    </row>
    <row r="106" spans="1:13" x14ac:dyDescent="0.2">
      <c r="A106">
        <v>45413</v>
      </c>
      <c r="B106" t="s">
        <v>6</v>
      </c>
      <c r="C106" t="s">
        <v>136</v>
      </c>
      <c r="E106" s="1">
        <v>45036</v>
      </c>
      <c r="F106" t="s">
        <v>131</v>
      </c>
      <c r="G106" t="s">
        <v>277</v>
      </c>
      <c r="J106" s="14" t="str">
        <f>IFERROR(
  IF(OR(ISNUMBER(SEARCH("should be existed", G106)), ISNUMBER(SEARCH("should exist", G106)), ISNUMBER(SEARCH("should be in wikidata", G106)), ISNUMBER(SEARCH("exists", G106))), "Should Exist",
  IF(OR(ISNUMBER(SEARCH("need further define", G106)), ISNUMBER(SEARCH("should be further define", G106)), ISNUMBER(SEARCH("unclear", G106)), ISNUMBER(SEARCH("prefix", G106)), ISNUMBER(SEARCH("incomplete", G106))), "Need Clarification",
  IF(OR(ISNUMBER(SEARCH("encoding", G106)), ISNUMBER(SEARCH("‚Ä", G106)), ISNUMBER(SEARCH("â€™", G106)), ISNUMBER(SEARCH("apostrophe", G106)), ISNUMBER(SEARCH("character", G106))), "Encoding Issue",
  IF(OR(ISNUMBER(SEARCH("not an organization", G106)), ISNUMBER(SEARCH("not org", G106)), ISNUMBER(SEARCH("title", G106)), ISNUMBER(SEARCH("initiative", G106)), ISNUMBER(SEARCH("not be considered", G106))), "Not an Organization",
  IF(OR(ISNUMBER(SEARCH("ambiguity", G106)), ISNUMBER(SEARCH("generic", G106)), ISNUMBER(SEARCH("common", G106)), ISNUMBER(SEARCH("similar name", G106))), "Name Ambiguity",
  IF(OR(ISNUMBER(SEARCH("abbreviation", G106)), ISNUMBER(SEARCH("short form", G106)), ISNUMBER(SEARCH("acronym", G106)), ISNUMBER(SEARCH("'s", G106)), ISNUMBER(SEARCH("variant", G106))), "Abbreviation Issue",
  IF(OR(ISNUMBER(SEARCH("does not exist", G106)), ISNUMBER(SEARCH("cannot find", G106)), ISNUMBER(SEARCH("no entry", G106)), ISNUMBER(SEARCH("not found", G106)), ISNUMBER(SEARCH("no such organization", G106))), "Does Not Exist",
  IF(OR(ISNUMBER(SEARCH("wrong classification", G106)), ISNUMBER(SEARCH("misidentified", G106)), ISNUMBER(SEARCH("recognitive error", G106)), ISNUMBER(SEARCH("should not", G106))), "Wrong Classification",
  IF(OR(ISNUMBER(SEARCH("repeated", G106)), ISNUMBER(SEARCH("duplicate", G106))), "Duplicated",
  IF(OR(ISNUMBER(SEARCH("split", G106)), ISNUMBER(SEARCH("separate into 2", G106)), ISNUMBER(SEARCH("contains 2 org", G106))), "Split Needed", "not find on wikidata, but exist")))))))))),"not find on wikidata, but exist")</f>
        <v>Name Ambiguity</v>
      </c>
    </row>
    <row r="107" spans="1:13" x14ac:dyDescent="0.2">
      <c r="A107">
        <v>47752</v>
      </c>
      <c r="B107" t="s">
        <v>6</v>
      </c>
      <c r="C107" t="s">
        <v>137</v>
      </c>
      <c r="E107" s="1">
        <v>44634.814583333333</v>
      </c>
      <c r="F107" t="s">
        <v>138</v>
      </c>
      <c r="G107" t="s">
        <v>255</v>
      </c>
      <c r="J107" s="14" t="str">
        <f>IFERROR(
  IF(OR(ISNUMBER(SEARCH("should be existed", G107)), ISNUMBER(SEARCH("should exist", G107)), ISNUMBER(SEARCH("should be in wikidata", G107)), ISNUMBER(SEARCH("exists", G107))), "Should Exist",
  IF(OR(ISNUMBER(SEARCH("need further define", G107)), ISNUMBER(SEARCH("should be further define", G107)), ISNUMBER(SEARCH("unclear", G107)), ISNUMBER(SEARCH("prefix", G107)), ISNUMBER(SEARCH("incomplete", G107))), "Need Clarification",
  IF(OR(ISNUMBER(SEARCH("encoding", G107)), ISNUMBER(SEARCH("‚Ä", G107)), ISNUMBER(SEARCH("â€™", G107)), ISNUMBER(SEARCH("apostrophe", G107)), ISNUMBER(SEARCH("character", G107))), "Encoding Issue",
  IF(OR(ISNUMBER(SEARCH("not an organization", G107)), ISNUMBER(SEARCH("not org", G107)), ISNUMBER(SEARCH("title", G107)), ISNUMBER(SEARCH("initiative", G107)), ISNUMBER(SEARCH("not be considered", G107))), "Not an Organization",
  IF(OR(ISNUMBER(SEARCH("ambiguity", G107)), ISNUMBER(SEARCH("generic", G107)), ISNUMBER(SEARCH("common", G107)), ISNUMBER(SEARCH("similar name", G107))), "Name Ambiguity",
  IF(OR(ISNUMBER(SEARCH("abbreviation", G107)), ISNUMBER(SEARCH("short form", G107)), ISNUMBER(SEARCH("acronym", G107)), ISNUMBER(SEARCH("'s", G107)), ISNUMBER(SEARCH("variant", G107))), "Abbreviation Issue",
  IF(OR(ISNUMBER(SEARCH("does not exist", G107)), ISNUMBER(SEARCH("cannot find", G107)), ISNUMBER(SEARCH("no entry", G107)), ISNUMBER(SEARCH("not found", G107)), ISNUMBER(SEARCH("no such organization", G107))), "Does Not Exist",
  IF(OR(ISNUMBER(SEARCH("wrong classification", G107)), ISNUMBER(SEARCH("misidentified", G107)), ISNUMBER(SEARCH("recognitive error", G107)), ISNUMBER(SEARCH("should not", G107))), "Wrong Classification",
  IF(OR(ISNUMBER(SEARCH("repeated", G107)), ISNUMBER(SEARCH("duplicate", G107))), "Duplicated",
  IF(OR(ISNUMBER(SEARCH("split", G107)), ISNUMBER(SEARCH("separate into 2", G107)), ISNUMBER(SEARCH("contains 2 org", G107))), "Split Needed", "not find on wikidata, but exist")))))))))),"not find on wikidata, but exist")</f>
        <v>Name Ambiguity</v>
      </c>
    </row>
    <row r="108" spans="1:13" x14ac:dyDescent="0.2">
      <c r="A108">
        <v>47752</v>
      </c>
      <c r="B108" t="s">
        <v>6</v>
      </c>
      <c r="C108" t="s">
        <v>139</v>
      </c>
      <c r="E108" s="1">
        <v>44634.814583333333</v>
      </c>
      <c r="F108" t="s">
        <v>138</v>
      </c>
      <c r="G108" t="s">
        <v>328</v>
      </c>
      <c r="J108" s="14" t="s">
        <v>303</v>
      </c>
    </row>
    <row r="109" spans="1:13" x14ac:dyDescent="0.2">
      <c r="A109">
        <v>47752</v>
      </c>
      <c r="B109" t="s">
        <v>6</v>
      </c>
      <c r="C109" t="s">
        <v>140</v>
      </c>
      <c r="D109" s="1">
        <v>44634.814583333333</v>
      </c>
      <c r="E109" t="s">
        <v>138</v>
      </c>
      <c r="G109" t="s">
        <v>307</v>
      </c>
      <c r="J109" s="3" t="s">
        <v>307</v>
      </c>
    </row>
    <row r="110" spans="1:13" x14ac:dyDescent="0.2">
      <c r="A110">
        <v>47752</v>
      </c>
      <c r="B110" t="s">
        <v>6</v>
      </c>
      <c r="C110" t="s">
        <v>141</v>
      </c>
      <c r="E110" s="1">
        <v>44634.814583333333</v>
      </c>
      <c r="F110" t="s">
        <v>138</v>
      </c>
      <c r="G110" t="s">
        <v>268</v>
      </c>
      <c r="J110" s="20" t="s">
        <v>366</v>
      </c>
      <c r="M110" s="8" t="s">
        <v>333</v>
      </c>
    </row>
    <row r="111" spans="1:13" x14ac:dyDescent="0.2">
      <c r="A111">
        <v>47752</v>
      </c>
      <c r="B111" t="s">
        <v>6</v>
      </c>
      <c r="C111" t="s">
        <v>142</v>
      </c>
      <c r="D111" s="1">
        <v>44634.814583333333</v>
      </c>
      <c r="E111" t="s">
        <v>138</v>
      </c>
      <c r="G111" t="s">
        <v>278</v>
      </c>
      <c r="J111" t="s">
        <v>305</v>
      </c>
    </row>
    <row r="112" spans="1:13" x14ac:dyDescent="0.2">
      <c r="A112">
        <v>47752</v>
      </c>
      <c r="B112" t="s">
        <v>6</v>
      </c>
      <c r="C112" t="s">
        <v>143</v>
      </c>
      <c r="D112" s="1">
        <v>44634.814583333333</v>
      </c>
      <c r="E112" t="s">
        <v>138</v>
      </c>
      <c r="G112" t="s">
        <v>278</v>
      </c>
      <c r="J112" t="s">
        <v>305</v>
      </c>
    </row>
    <row r="113" spans="1:13" x14ac:dyDescent="0.2">
      <c r="A113">
        <v>47752</v>
      </c>
      <c r="B113" t="s">
        <v>6</v>
      </c>
      <c r="C113" t="s">
        <v>144</v>
      </c>
      <c r="E113" s="1">
        <v>44634.814583333333</v>
      </c>
      <c r="F113" t="s">
        <v>138</v>
      </c>
      <c r="G113" t="s">
        <v>335</v>
      </c>
      <c r="J113" s="14" t="s">
        <v>303</v>
      </c>
      <c r="K113" t="s">
        <v>327</v>
      </c>
    </row>
    <row r="114" spans="1:13" x14ac:dyDescent="0.2">
      <c r="A114">
        <v>47752</v>
      </c>
      <c r="B114" t="s">
        <v>6</v>
      </c>
      <c r="C114" t="s">
        <v>145</v>
      </c>
      <c r="E114" s="1">
        <v>44634.814583333333</v>
      </c>
      <c r="F114" t="s">
        <v>138</v>
      </c>
      <c r="G114" t="s">
        <v>285</v>
      </c>
      <c r="J114" t="str">
        <f>IFERROR(
  IF(OR(ISNUMBER(SEARCH("should be existed", G114)), ISNUMBER(SEARCH("should exist", G114)), ISNUMBER(SEARCH("should be in wikidata", G114)), ISNUMBER(SEARCH("exists", G114))), "Should Exist",
  IF(OR(ISNUMBER(SEARCH("need further define", G114)), ISNUMBER(SEARCH("should be further define", G114)), ISNUMBER(SEARCH("unclear", G114)), ISNUMBER(SEARCH("prefix", G114)), ISNUMBER(SEARCH("incomplete", G114))), "Need Clarification",
  IF(OR(ISNUMBER(SEARCH("encoding", G114)), ISNUMBER(SEARCH("‚Ä", G114)), ISNUMBER(SEARCH("â€™", G114)), ISNUMBER(SEARCH("apostrophe", G114)), ISNUMBER(SEARCH("character", G114))), "Encoding Issue",
  IF(OR(ISNUMBER(SEARCH("not an organization", G114)), ISNUMBER(SEARCH("not org", G114)), ISNUMBER(SEARCH("title", G114)), ISNUMBER(SEARCH("initiative", G114)), ISNUMBER(SEARCH("not be considered", G114))), "Not an Organization",
  IF(OR(ISNUMBER(SEARCH("ambiguity", G114)), ISNUMBER(SEARCH("generic", G114)), ISNUMBER(SEARCH("common", G114)), ISNUMBER(SEARCH("similar name", G114))), "Name Ambiguity",
  IF(OR(ISNUMBER(SEARCH("abbreviation", G114)), ISNUMBER(SEARCH("short form", G114)), ISNUMBER(SEARCH("acronym", G114)), ISNUMBER(SEARCH("'s", G114)), ISNUMBER(SEARCH("variant", G114))), "Abbreviation Issue",
  IF(OR(ISNUMBER(SEARCH("does not exist", G114)), ISNUMBER(SEARCH("cannot find", G114)), ISNUMBER(SEARCH("no entry", G114)), ISNUMBER(SEARCH("not found", G114)), ISNUMBER(SEARCH("no such organization", G114))), "Does Not Exist",
  IF(OR(ISNUMBER(SEARCH("wrong classification", G114)), ISNUMBER(SEARCH("misidentified", G114)), ISNUMBER(SEARCH("recognitive error", G114)), ISNUMBER(SEARCH("should not", G114))), "Wrong Classification",
  IF(OR(ISNUMBER(SEARCH("repeated", G114)), ISNUMBER(SEARCH("duplicate", G114))), "Duplicated",
  IF(OR(ISNUMBER(SEARCH("split", G114)), ISNUMBER(SEARCH("separate into 2", G114)), ISNUMBER(SEARCH("contains 2 org", G114))), "Split Needed", "not find on wikidata, but exist")))))))))),"not find on wikidata, but exist")</f>
        <v>Wrong Classification</v>
      </c>
    </row>
    <row r="115" spans="1:13" x14ac:dyDescent="0.2">
      <c r="A115">
        <v>49222</v>
      </c>
      <c r="B115" t="s">
        <v>6</v>
      </c>
      <c r="C115" t="s">
        <v>146</v>
      </c>
      <c r="D115" s="1">
        <v>44652.919444444444</v>
      </c>
      <c r="E115" t="s">
        <v>147</v>
      </c>
      <c r="G115" t="s">
        <v>268</v>
      </c>
      <c r="J115" s="20" t="s">
        <v>366</v>
      </c>
      <c r="M115" s="7" t="s">
        <v>326</v>
      </c>
    </row>
    <row r="116" spans="1:13" x14ac:dyDescent="0.2">
      <c r="A116">
        <v>49309</v>
      </c>
      <c r="B116" t="s">
        <v>6</v>
      </c>
      <c r="C116" t="s">
        <v>148</v>
      </c>
      <c r="E116" s="1">
        <v>44596.814583333333</v>
      </c>
      <c r="F116" t="s">
        <v>149</v>
      </c>
      <c r="G116" t="s">
        <v>279</v>
      </c>
      <c r="J116" s="14" t="str">
        <f>IFERROR(
  IF(OR(ISNUMBER(SEARCH("should be existed", G116)), ISNUMBER(SEARCH("should exist", G116)), ISNUMBER(SEARCH("should be in wikidata", G116)), ISNUMBER(SEARCH("exists", G116))), "Should Exist",
  IF(OR(ISNUMBER(SEARCH("need further define", G116)), ISNUMBER(SEARCH("should be further define", G116)), ISNUMBER(SEARCH("unclear", G116)), ISNUMBER(SEARCH("prefix", G116)), ISNUMBER(SEARCH("incomplete", G116))), "Need Clarification",
  IF(OR(ISNUMBER(SEARCH("encoding", G116)), ISNUMBER(SEARCH("‚Ä", G116)), ISNUMBER(SEARCH("â€™", G116)), ISNUMBER(SEARCH("apostrophe", G116)), ISNUMBER(SEARCH("character", G116))), "Encoding Issue",
  IF(OR(ISNUMBER(SEARCH("not an organization", G116)), ISNUMBER(SEARCH("not org", G116)), ISNUMBER(SEARCH("title", G116)), ISNUMBER(SEARCH("initiative", G116)), ISNUMBER(SEARCH("not be considered", G116))), "Not an Organization",
  IF(OR(ISNUMBER(SEARCH("ambiguity", G116)), ISNUMBER(SEARCH("generic", G116)), ISNUMBER(SEARCH("common", G116)), ISNUMBER(SEARCH("similar name", G116))), "Name Ambiguity",
  IF(OR(ISNUMBER(SEARCH("abbreviation", G116)), ISNUMBER(SEARCH("short form", G116)), ISNUMBER(SEARCH("acronym", G116)), ISNUMBER(SEARCH("'s", G116)), ISNUMBER(SEARCH("variant", G116))), "Abbreviation Issue",
  IF(OR(ISNUMBER(SEARCH("does not exist", G116)), ISNUMBER(SEARCH("cannot find", G116)), ISNUMBER(SEARCH("no entry", G116)), ISNUMBER(SEARCH("not found", G116)), ISNUMBER(SEARCH("no such organization", G116))), "Does Not Exist",
  IF(OR(ISNUMBER(SEARCH("wrong classification", G116)), ISNUMBER(SEARCH("misidentified", G116)), ISNUMBER(SEARCH("recognitive error", G116)), ISNUMBER(SEARCH("should not", G116))), "Wrong Classification",
  IF(OR(ISNUMBER(SEARCH("repeated", G116)), ISNUMBER(SEARCH("duplicate", G116))), "Duplicated",
  IF(OR(ISNUMBER(SEARCH("split", G116)), ISNUMBER(SEARCH("separate into 2", G116)), ISNUMBER(SEARCH("contains 2 org", G116))), "Split Needed", "not find on wikidata, but exist")))))))))),"not find on wikidata, but exist")</f>
        <v>Name Ambiguity</v>
      </c>
    </row>
    <row r="117" spans="1:13" x14ac:dyDescent="0.2">
      <c r="A117">
        <v>49309</v>
      </c>
      <c r="B117" t="s">
        <v>6</v>
      </c>
      <c r="C117" t="s">
        <v>150</v>
      </c>
      <c r="E117" s="1">
        <v>44596.814583333333</v>
      </c>
      <c r="F117" t="s">
        <v>149</v>
      </c>
      <c r="G117" t="s">
        <v>328</v>
      </c>
      <c r="J117" s="14" t="s">
        <v>303</v>
      </c>
    </row>
    <row r="118" spans="1:13" x14ac:dyDescent="0.2">
      <c r="A118">
        <v>49440</v>
      </c>
      <c r="B118" t="s">
        <v>6</v>
      </c>
      <c r="C118" t="s">
        <v>151</v>
      </c>
      <c r="E118" s="1">
        <v>44615.786111111112</v>
      </c>
      <c r="F118" t="s">
        <v>152</v>
      </c>
      <c r="G118" t="s">
        <v>280</v>
      </c>
      <c r="J118" s="3" t="s">
        <v>307</v>
      </c>
      <c r="K118" s="13" t="s">
        <v>308</v>
      </c>
      <c r="L118" t="s">
        <v>323</v>
      </c>
      <c r="M118" s="19" t="s">
        <v>363</v>
      </c>
    </row>
    <row r="119" spans="1:13" x14ac:dyDescent="0.2">
      <c r="A119">
        <v>49440</v>
      </c>
      <c r="B119" t="s">
        <v>6</v>
      </c>
      <c r="C119" t="s">
        <v>153</v>
      </c>
      <c r="D119" s="1">
        <v>44615.786111111112</v>
      </c>
      <c r="E119" t="s">
        <v>152</v>
      </c>
      <c r="G119" t="s">
        <v>281</v>
      </c>
      <c r="J119" t="s">
        <v>305</v>
      </c>
    </row>
    <row r="120" spans="1:13" x14ac:dyDescent="0.2">
      <c r="A120">
        <v>49440</v>
      </c>
      <c r="B120" t="s">
        <v>6</v>
      </c>
      <c r="C120" t="s">
        <v>154</v>
      </c>
      <c r="E120" s="1">
        <v>44615.786111111112</v>
      </c>
      <c r="F120" t="s">
        <v>152</v>
      </c>
      <c r="G120" t="s">
        <v>247</v>
      </c>
      <c r="J120" t="str">
        <f>IFERROR(
  IF(OR(ISNUMBER(SEARCH("should be existed", G120)), ISNUMBER(SEARCH("should exist", G120)), ISNUMBER(SEARCH("should be in wikidata", G120)), ISNUMBER(SEARCH("exists", G120))), "Should Exist",
  IF(OR(ISNUMBER(SEARCH("need further define", G120)), ISNUMBER(SEARCH("should be further define", G120)), ISNUMBER(SEARCH("unclear", G120)), ISNUMBER(SEARCH("prefix", G120)), ISNUMBER(SEARCH("incomplete", G120))), "Need Clarification",
  IF(OR(ISNUMBER(SEARCH("encoding", G120)), ISNUMBER(SEARCH("‚Ä", G120)), ISNUMBER(SEARCH("â€™", G120)), ISNUMBER(SEARCH("apostrophe", G120)), ISNUMBER(SEARCH("character", G120))), "Encoding Issue",
  IF(OR(ISNUMBER(SEARCH("not an organization", G120)), ISNUMBER(SEARCH("not org", G120)), ISNUMBER(SEARCH("title", G120)), ISNUMBER(SEARCH("initiative", G120)), ISNUMBER(SEARCH("not be considered", G120))), "Not an Organization",
  IF(OR(ISNUMBER(SEARCH("ambiguity", G120)), ISNUMBER(SEARCH("generic", G120)), ISNUMBER(SEARCH("common", G120)), ISNUMBER(SEARCH("similar name", G120))), "Name Ambiguity",
  IF(OR(ISNUMBER(SEARCH("abbreviation", G120)), ISNUMBER(SEARCH("short form", G120)), ISNUMBER(SEARCH("acronym", G120)), ISNUMBER(SEARCH("'s", G120)), ISNUMBER(SEARCH("variant", G120))), "Abbreviation Issue",
  IF(OR(ISNUMBER(SEARCH("does not exist", G120)), ISNUMBER(SEARCH("cannot find", G120)), ISNUMBER(SEARCH("no entry", G120)), ISNUMBER(SEARCH("not found", G120)), ISNUMBER(SEARCH("no such organization", G120))), "Does Not Exist",
  IF(OR(ISNUMBER(SEARCH("wrong classification", G120)), ISNUMBER(SEARCH("misidentified", G120)), ISNUMBER(SEARCH("recognitive error", G120)), ISNUMBER(SEARCH("should not", G120))), "Wrong Classification",
  IF(OR(ISNUMBER(SEARCH("repeated", G120)), ISNUMBER(SEARCH("duplicate", G120))), "Duplicated",
  IF(OR(ISNUMBER(SEARCH("split", G120)), ISNUMBER(SEARCH("separate into 2", G120)), ISNUMBER(SEARCH("contains 2 org", G120))), "Split Needed", "not find on wikidata, but exist")))))))))),"not find on wikidata, but exist")</f>
        <v>Encoding Issue</v>
      </c>
    </row>
    <row r="121" spans="1:13" x14ac:dyDescent="0.2">
      <c r="A121">
        <v>49440</v>
      </c>
      <c r="B121" t="s">
        <v>6</v>
      </c>
      <c r="C121" t="s">
        <v>155</v>
      </c>
      <c r="D121" s="1">
        <v>44615.786111111112</v>
      </c>
      <c r="E121" t="s">
        <v>152</v>
      </c>
      <c r="G121" t="s">
        <v>268</v>
      </c>
      <c r="J121" s="20" t="s">
        <v>366</v>
      </c>
      <c r="M121" s="7" t="s">
        <v>326</v>
      </c>
    </row>
    <row r="122" spans="1:13" x14ac:dyDescent="0.2">
      <c r="A122">
        <v>49440</v>
      </c>
      <c r="B122" t="s">
        <v>6</v>
      </c>
      <c r="C122" t="s">
        <v>156</v>
      </c>
      <c r="E122" s="1">
        <v>44615.786111111112</v>
      </c>
      <c r="F122" t="s">
        <v>152</v>
      </c>
      <c r="G122" t="s">
        <v>286</v>
      </c>
      <c r="J122" s="14" t="s">
        <v>303</v>
      </c>
    </row>
    <row r="123" spans="1:13" x14ac:dyDescent="0.2">
      <c r="A123">
        <v>54333</v>
      </c>
      <c r="B123" t="s">
        <v>6</v>
      </c>
      <c r="C123" t="s">
        <v>157</v>
      </c>
      <c r="E123" s="1">
        <v>44600.677777777775</v>
      </c>
      <c r="F123" t="s">
        <v>158</v>
      </c>
      <c r="G123" t="s">
        <v>247</v>
      </c>
      <c r="J123" s="3" t="s">
        <v>307</v>
      </c>
      <c r="K123" t="s">
        <v>312</v>
      </c>
      <c r="M123" s="18" t="s">
        <v>357</v>
      </c>
    </row>
    <row r="124" spans="1:13" x14ac:dyDescent="0.2">
      <c r="A124">
        <v>54333</v>
      </c>
      <c r="B124" t="s">
        <v>6</v>
      </c>
      <c r="C124" t="s">
        <v>159</v>
      </c>
      <c r="D124" s="1">
        <v>44600.677777777775</v>
      </c>
      <c r="E124" t="s">
        <v>158</v>
      </c>
      <c r="G124" t="s">
        <v>247</v>
      </c>
      <c r="J124" t="str">
        <f>IFERROR(
  IF(OR(ISNUMBER(SEARCH("should be existed", G124)), ISNUMBER(SEARCH("should exist", G124)), ISNUMBER(SEARCH("should be in wikidata", G124)), ISNUMBER(SEARCH("exists", G124))), "Should Exist",
  IF(OR(ISNUMBER(SEARCH("need further define", G124)), ISNUMBER(SEARCH("should be further define", G124)), ISNUMBER(SEARCH("unclear", G124)), ISNUMBER(SEARCH("prefix", G124)), ISNUMBER(SEARCH("incomplete", G124))), "Need Clarification",
  IF(OR(ISNUMBER(SEARCH("encoding", G124)), ISNUMBER(SEARCH("‚Ä", G124)), ISNUMBER(SEARCH("â€™", G124)), ISNUMBER(SEARCH("apostrophe", G124)), ISNUMBER(SEARCH("character", G124))), "Encoding Issue",
  IF(OR(ISNUMBER(SEARCH("not an organization", G124)), ISNUMBER(SEARCH("not org", G124)), ISNUMBER(SEARCH("title", G124)), ISNUMBER(SEARCH("initiative", G124)), ISNUMBER(SEARCH("not be considered", G124))), "Not an Organization",
  IF(OR(ISNUMBER(SEARCH("ambiguity", G124)), ISNUMBER(SEARCH("generic", G124)), ISNUMBER(SEARCH("common", G124)), ISNUMBER(SEARCH("similar name", G124))), "Name Ambiguity",
  IF(OR(ISNUMBER(SEARCH("abbreviation", G124)), ISNUMBER(SEARCH("short form", G124)), ISNUMBER(SEARCH("acronym", G124)), ISNUMBER(SEARCH("'s", G124)), ISNUMBER(SEARCH("variant", G124))), "Abbreviation Issue",
  IF(OR(ISNUMBER(SEARCH("does not exist", G124)), ISNUMBER(SEARCH("cannot find", G124)), ISNUMBER(SEARCH("no entry", G124)), ISNUMBER(SEARCH("not found", G124)), ISNUMBER(SEARCH("no such organization", G124))), "Does Not Exist",
  IF(OR(ISNUMBER(SEARCH("wrong classification", G124)), ISNUMBER(SEARCH("misidentified", G124)), ISNUMBER(SEARCH("recognitive error", G124)), ISNUMBER(SEARCH("should not", G124))), "Wrong Classification",
  IF(OR(ISNUMBER(SEARCH("repeated", G124)), ISNUMBER(SEARCH("duplicate", G124))), "Duplicated",
  IF(OR(ISNUMBER(SEARCH("split", G124)), ISNUMBER(SEARCH("separate into 2", G124)), ISNUMBER(SEARCH("contains 2 org", G124))), "Split Needed", "not find on wikidata, but exist")))))))))),"not find on wikidata, but exist")</f>
        <v>Encoding Issue</v>
      </c>
    </row>
    <row r="125" spans="1:13" x14ac:dyDescent="0.2">
      <c r="A125">
        <v>54333</v>
      </c>
      <c r="B125" t="s">
        <v>6</v>
      </c>
      <c r="C125" t="s">
        <v>160</v>
      </c>
      <c r="E125" s="1">
        <v>44600.677777777775</v>
      </c>
      <c r="F125" t="s">
        <v>158</v>
      </c>
      <c r="G125" t="s">
        <v>282</v>
      </c>
      <c r="J125" t="s">
        <v>305</v>
      </c>
    </row>
    <row r="126" spans="1:13" x14ac:dyDescent="0.2">
      <c r="A126">
        <v>54333</v>
      </c>
      <c r="B126" t="s">
        <v>6</v>
      </c>
      <c r="C126" t="s">
        <v>161</v>
      </c>
      <c r="D126" s="1">
        <v>44600.677777777775</v>
      </c>
      <c r="E126" t="s">
        <v>158</v>
      </c>
      <c r="G126" t="s">
        <v>297</v>
      </c>
      <c r="J126" s="3" t="s">
        <v>307</v>
      </c>
      <c r="K126" s="13" t="s">
        <v>308</v>
      </c>
      <c r="L126" t="s">
        <v>329</v>
      </c>
      <c r="M126" s="14" t="s">
        <v>303</v>
      </c>
    </row>
    <row r="127" spans="1:13" x14ac:dyDescent="0.2">
      <c r="A127">
        <v>54333</v>
      </c>
      <c r="B127" t="s">
        <v>6</v>
      </c>
      <c r="C127" t="s">
        <v>162</v>
      </c>
      <c r="E127" s="1">
        <v>44600.677777777775</v>
      </c>
      <c r="F127" t="s">
        <v>158</v>
      </c>
      <c r="G127" t="s">
        <v>283</v>
      </c>
      <c r="J127" s="14" t="str">
        <f>IFERROR(
  IF(OR(ISNUMBER(SEARCH("should be existed", G127)), ISNUMBER(SEARCH("should exist", G127)), ISNUMBER(SEARCH("should be in wikidata", G127)), ISNUMBER(SEARCH("exists", G127))), "Should Exist",
  IF(OR(ISNUMBER(SEARCH("need further define", G127)), ISNUMBER(SEARCH("should be further define", G127)), ISNUMBER(SEARCH("unclear", G127)), ISNUMBER(SEARCH("prefix", G127)), ISNUMBER(SEARCH("incomplete", G127))), "Need Clarification",
  IF(OR(ISNUMBER(SEARCH("encoding", G127)), ISNUMBER(SEARCH("‚Ä", G127)), ISNUMBER(SEARCH("â€™", G127)), ISNUMBER(SEARCH("apostrophe", G127)), ISNUMBER(SEARCH("character", G127))), "Encoding Issue",
  IF(OR(ISNUMBER(SEARCH("not an organization", G127)), ISNUMBER(SEARCH("not org", G127)), ISNUMBER(SEARCH("title", G127)), ISNUMBER(SEARCH("initiative", G127)), ISNUMBER(SEARCH("not be considered", G127))), "Not an Organization",
  IF(OR(ISNUMBER(SEARCH("ambiguity", G127)), ISNUMBER(SEARCH("generic", G127)), ISNUMBER(SEARCH("common", G127)), ISNUMBER(SEARCH("similar name", G127))), "Name Ambiguity",
  IF(OR(ISNUMBER(SEARCH("abbreviation", G127)), ISNUMBER(SEARCH("short form", G127)), ISNUMBER(SEARCH("acronym", G127)), ISNUMBER(SEARCH("'s", G127)), ISNUMBER(SEARCH("variant", G127))), "Abbreviation Issue",
  IF(OR(ISNUMBER(SEARCH("does not exist", G127)), ISNUMBER(SEARCH("cannot find", G127)), ISNUMBER(SEARCH("no entry", G127)), ISNUMBER(SEARCH("not found", G127)), ISNUMBER(SEARCH("no such organization", G127))), "Does Not Exist",
  IF(OR(ISNUMBER(SEARCH("wrong classification", G127)), ISNUMBER(SEARCH("misidentified", G127)), ISNUMBER(SEARCH("recognitive error", G127)), ISNUMBER(SEARCH("should not", G127))), "Wrong Classification",
  IF(OR(ISNUMBER(SEARCH("repeated", G127)), ISNUMBER(SEARCH("duplicate", G127))), "Duplicated",
  IF(OR(ISNUMBER(SEARCH("split", G127)), ISNUMBER(SEARCH("separate into 2", G127)), ISNUMBER(SEARCH("contains 2 org", G127))), "Split Needed", "not find on wikidata, but exist")))))))))),"not find on wikidata, but exist")</f>
        <v>Name Ambiguity</v>
      </c>
    </row>
    <row r="128" spans="1:13" x14ac:dyDescent="0.2">
      <c r="A128">
        <v>56905</v>
      </c>
      <c r="B128" t="s">
        <v>6</v>
      </c>
      <c r="C128" t="s">
        <v>163</v>
      </c>
      <c r="E128" s="1">
        <v>44416.625</v>
      </c>
      <c r="F128" t="s">
        <v>164</v>
      </c>
      <c r="G128" t="s">
        <v>284</v>
      </c>
      <c r="J128" t="s">
        <v>305</v>
      </c>
    </row>
    <row r="129" spans="1:13" x14ac:dyDescent="0.2">
      <c r="A129">
        <v>57129</v>
      </c>
      <c r="B129" t="s">
        <v>6</v>
      </c>
      <c r="C129" t="s">
        <v>165</v>
      </c>
      <c r="E129" s="1">
        <v>44435.083333333336</v>
      </c>
      <c r="F129" t="s">
        <v>166</v>
      </c>
      <c r="G129" t="s">
        <v>297</v>
      </c>
      <c r="J129" s="3" t="s">
        <v>307</v>
      </c>
      <c r="K129" s="13" t="s">
        <v>308</v>
      </c>
      <c r="L129" t="s">
        <v>323</v>
      </c>
      <c r="M129" s="19" t="s">
        <v>363</v>
      </c>
    </row>
    <row r="130" spans="1:13" x14ac:dyDescent="0.2">
      <c r="A130">
        <v>57129</v>
      </c>
      <c r="B130" t="s">
        <v>6</v>
      </c>
      <c r="C130" t="s">
        <v>167</v>
      </c>
      <c r="D130" s="1">
        <v>44435.083333333336</v>
      </c>
      <c r="E130" t="s">
        <v>166</v>
      </c>
      <c r="G130" t="s">
        <v>297</v>
      </c>
      <c r="J130" s="3" t="s">
        <v>307</v>
      </c>
    </row>
    <row r="131" spans="1:13" x14ac:dyDescent="0.2">
      <c r="A131">
        <v>57386</v>
      </c>
      <c r="B131" t="s">
        <v>6</v>
      </c>
      <c r="C131" t="s">
        <v>168</v>
      </c>
      <c r="D131" s="1">
        <v>44402.818055555559</v>
      </c>
      <c r="E131" t="s">
        <v>169</v>
      </c>
      <c r="G131" t="s">
        <v>287</v>
      </c>
      <c r="J131" s="14" t="s">
        <v>303</v>
      </c>
    </row>
    <row r="132" spans="1:13" x14ac:dyDescent="0.2">
      <c r="A132">
        <v>57386</v>
      </c>
      <c r="B132" t="s">
        <v>6</v>
      </c>
      <c r="C132" t="s">
        <v>170</v>
      </c>
      <c r="D132" s="1">
        <v>44402.818055555559</v>
      </c>
      <c r="E132" t="s">
        <v>169</v>
      </c>
      <c r="G132" t="s">
        <v>297</v>
      </c>
      <c r="J132" s="3" t="s">
        <v>307</v>
      </c>
    </row>
    <row r="133" spans="1:13" x14ac:dyDescent="0.2">
      <c r="A133">
        <v>57386</v>
      </c>
      <c r="B133" t="s">
        <v>6</v>
      </c>
      <c r="C133" t="s">
        <v>171</v>
      </c>
      <c r="E133" s="1">
        <v>44402.818055555559</v>
      </c>
      <c r="F133" t="s">
        <v>169</v>
      </c>
      <c r="G133" t="s">
        <v>297</v>
      </c>
      <c r="J133" s="3" t="s">
        <v>307</v>
      </c>
      <c r="K133" t="s">
        <v>313</v>
      </c>
    </row>
    <row r="134" spans="1:13" x14ac:dyDescent="0.2">
      <c r="A134">
        <v>59945</v>
      </c>
      <c r="B134" t="s">
        <v>6</v>
      </c>
      <c r="C134" t="s">
        <v>172</v>
      </c>
      <c r="E134" s="1">
        <v>44337.791666666664</v>
      </c>
      <c r="F134" t="s">
        <v>173</v>
      </c>
      <c r="G134" t="s">
        <v>288</v>
      </c>
      <c r="J134" s="3" t="s">
        <v>307</v>
      </c>
      <c r="K134" t="s">
        <v>314</v>
      </c>
      <c r="M134" s="18" t="s">
        <v>357</v>
      </c>
    </row>
    <row r="135" spans="1:13" x14ac:dyDescent="0.2">
      <c r="A135">
        <v>59945</v>
      </c>
      <c r="B135" t="s">
        <v>6</v>
      </c>
      <c r="C135" t="s">
        <v>174</v>
      </c>
      <c r="E135" s="1">
        <v>44337.791666666664</v>
      </c>
      <c r="F135" t="s">
        <v>173</v>
      </c>
      <c r="G135" t="s">
        <v>289</v>
      </c>
      <c r="J135" s="14" t="s">
        <v>303</v>
      </c>
    </row>
    <row r="136" spans="1:13" x14ac:dyDescent="0.2">
      <c r="A136">
        <v>59945</v>
      </c>
      <c r="B136" t="s">
        <v>6</v>
      </c>
      <c r="C136" t="s">
        <v>175</v>
      </c>
      <c r="D136" s="1">
        <v>44337.791666666664</v>
      </c>
      <c r="E136" t="s">
        <v>173</v>
      </c>
      <c r="G136" t="s">
        <v>268</v>
      </c>
      <c r="J136" s="20" t="s">
        <v>366</v>
      </c>
      <c r="M136" s="7" t="s">
        <v>326</v>
      </c>
    </row>
    <row r="137" spans="1:13" x14ac:dyDescent="0.2">
      <c r="A137">
        <v>59945</v>
      </c>
      <c r="B137" t="s">
        <v>6</v>
      </c>
      <c r="C137" t="s">
        <v>176</v>
      </c>
      <c r="E137" s="1">
        <v>44337.791666666664</v>
      </c>
      <c r="F137" t="s">
        <v>173</v>
      </c>
      <c r="G137" t="s">
        <v>297</v>
      </c>
      <c r="J137" s="3" t="s">
        <v>307</v>
      </c>
      <c r="K137" t="s">
        <v>315</v>
      </c>
    </row>
    <row r="138" spans="1:13" x14ac:dyDescent="0.2">
      <c r="A138">
        <v>62570</v>
      </c>
      <c r="B138" t="s">
        <v>6</v>
      </c>
      <c r="C138" t="s">
        <v>177</v>
      </c>
      <c r="D138" s="1">
        <v>44818.685416666667</v>
      </c>
      <c r="E138" t="s">
        <v>178</v>
      </c>
      <c r="G138" t="s">
        <v>297</v>
      </c>
      <c r="J138" s="3" t="s">
        <v>307</v>
      </c>
    </row>
    <row r="139" spans="1:13" x14ac:dyDescent="0.2">
      <c r="A139">
        <v>62607</v>
      </c>
      <c r="B139" t="s">
        <v>6</v>
      </c>
      <c r="C139" t="s">
        <v>179</v>
      </c>
      <c r="E139" s="1">
        <v>44831.62777777778</v>
      </c>
      <c r="F139" t="s">
        <v>180</v>
      </c>
      <c r="G139" t="s">
        <v>268</v>
      </c>
      <c r="J139" s="20" t="s">
        <v>366</v>
      </c>
    </row>
    <row r="140" spans="1:13" x14ac:dyDescent="0.2">
      <c r="A140">
        <v>62607</v>
      </c>
      <c r="B140" t="s">
        <v>6</v>
      </c>
      <c r="C140" t="s">
        <v>181</v>
      </c>
      <c r="E140" s="1">
        <v>44831.62777777778</v>
      </c>
      <c r="F140" t="s">
        <v>180</v>
      </c>
      <c r="G140" t="s">
        <v>268</v>
      </c>
      <c r="J140" s="20" t="s">
        <v>366</v>
      </c>
      <c r="M140" s="8" t="s">
        <v>333</v>
      </c>
    </row>
    <row r="141" spans="1:13" x14ac:dyDescent="0.2">
      <c r="A141">
        <v>62607</v>
      </c>
      <c r="B141" t="s">
        <v>6</v>
      </c>
      <c r="C141" t="s">
        <v>182</v>
      </c>
      <c r="D141" s="1">
        <v>44831.62777777778</v>
      </c>
      <c r="E141" t="s">
        <v>180</v>
      </c>
      <c r="G141" t="s">
        <v>274</v>
      </c>
      <c r="J141" t="s">
        <v>305</v>
      </c>
    </row>
    <row r="142" spans="1:13" x14ac:dyDescent="0.2">
      <c r="A142">
        <v>62607</v>
      </c>
      <c r="B142" t="s">
        <v>6</v>
      </c>
      <c r="C142" t="s">
        <v>183</v>
      </c>
      <c r="E142" s="1">
        <v>44831.62777777778</v>
      </c>
      <c r="F142" t="s">
        <v>180</v>
      </c>
      <c r="G142" t="s">
        <v>274</v>
      </c>
      <c r="J142" t="s">
        <v>305</v>
      </c>
    </row>
    <row r="143" spans="1:13" x14ac:dyDescent="0.2">
      <c r="A143">
        <v>63497</v>
      </c>
      <c r="B143" t="s">
        <v>6</v>
      </c>
      <c r="C143" t="s">
        <v>184</v>
      </c>
      <c r="E143" s="1">
        <v>44851.199305555558</v>
      </c>
      <c r="F143" t="s">
        <v>185</v>
      </c>
      <c r="G143" t="s">
        <v>268</v>
      </c>
      <c r="J143" s="20" t="s">
        <v>366</v>
      </c>
      <c r="M143" s="8" t="s">
        <v>333</v>
      </c>
    </row>
    <row r="144" spans="1:13" x14ac:dyDescent="0.2">
      <c r="A144">
        <v>63497</v>
      </c>
      <c r="B144" t="s">
        <v>6</v>
      </c>
      <c r="C144" t="s">
        <v>186</v>
      </c>
      <c r="D144" s="1">
        <v>44851.199305555558</v>
      </c>
      <c r="E144" t="s">
        <v>185</v>
      </c>
      <c r="G144" t="s">
        <v>297</v>
      </c>
      <c r="J144" s="3" t="s">
        <v>307</v>
      </c>
    </row>
    <row r="145" spans="1:13" x14ac:dyDescent="0.2">
      <c r="A145">
        <v>63497</v>
      </c>
      <c r="B145" t="s">
        <v>6</v>
      </c>
      <c r="C145" t="s">
        <v>187</v>
      </c>
      <c r="D145" s="1">
        <v>44851.199305555558</v>
      </c>
      <c r="E145" t="s">
        <v>185</v>
      </c>
      <c r="G145" t="s">
        <v>297</v>
      </c>
      <c r="J145" s="3" t="s">
        <v>307</v>
      </c>
    </row>
    <row r="146" spans="1:13" x14ac:dyDescent="0.2">
      <c r="A146">
        <v>63497</v>
      </c>
      <c r="B146" t="s">
        <v>6</v>
      </c>
      <c r="C146" t="s">
        <v>188</v>
      </c>
      <c r="E146" s="1">
        <v>44851.199305555558</v>
      </c>
      <c r="F146" t="s">
        <v>185</v>
      </c>
      <c r="G146" t="s">
        <v>247</v>
      </c>
      <c r="J146" t="str">
        <f>IFERROR(
  IF(OR(ISNUMBER(SEARCH("should be existed", G146)), ISNUMBER(SEARCH("should exist", G146)), ISNUMBER(SEARCH("should be in wikidata", G146)), ISNUMBER(SEARCH("exists", G146))), "Should Exist",
  IF(OR(ISNUMBER(SEARCH("need further define", G146)), ISNUMBER(SEARCH("should be further define", G146)), ISNUMBER(SEARCH("unclear", G146)), ISNUMBER(SEARCH("prefix", G146)), ISNUMBER(SEARCH("incomplete", G146))), "Need Clarification",
  IF(OR(ISNUMBER(SEARCH("encoding", G146)), ISNUMBER(SEARCH("‚Ä", G146)), ISNUMBER(SEARCH("â€™", G146)), ISNUMBER(SEARCH("apostrophe", G146)), ISNUMBER(SEARCH("character", G146))), "Encoding Issue",
  IF(OR(ISNUMBER(SEARCH("not an organization", G146)), ISNUMBER(SEARCH("not org", G146)), ISNUMBER(SEARCH("title", G146)), ISNUMBER(SEARCH("initiative", G146)), ISNUMBER(SEARCH("not be considered", G146))), "Not an Organization",
  IF(OR(ISNUMBER(SEARCH("ambiguity", G146)), ISNUMBER(SEARCH("generic", G146)), ISNUMBER(SEARCH("common", G146)), ISNUMBER(SEARCH("similar name", G146))), "Name Ambiguity",
  IF(OR(ISNUMBER(SEARCH("abbreviation", G146)), ISNUMBER(SEARCH("short form", G146)), ISNUMBER(SEARCH("acronym", G146)), ISNUMBER(SEARCH("'s", G146)), ISNUMBER(SEARCH("variant", G146))), "Abbreviation Issue",
  IF(OR(ISNUMBER(SEARCH("does not exist", G146)), ISNUMBER(SEARCH("cannot find", G146)), ISNUMBER(SEARCH("no entry", G146)), ISNUMBER(SEARCH("not found", G146)), ISNUMBER(SEARCH("no such organization", G146))), "Does Not Exist",
  IF(OR(ISNUMBER(SEARCH("wrong classification", G146)), ISNUMBER(SEARCH("misidentified", G146)), ISNUMBER(SEARCH("recognitive error", G146)), ISNUMBER(SEARCH("should not", G146))), "Wrong Classification",
  IF(OR(ISNUMBER(SEARCH("repeated", G146)), ISNUMBER(SEARCH("duplicate", G146))), "Duplicated",
  IF(OR(ISNUMBER(SEARCH("split", G146)), ISNUMBER(SEARCH("separate into 2", G146)), ISNUMBER(SEARCH("contains 2 org", G146))), "Split Needed", "not find on wikidata, but exist")))))))))),"not find on wikidata, but exist")</f>
        <v>Encoding Issue</v>
      </c>
    </row>
    <row r="147" spans="1:13" x14ac:dyDescent="0.2">
      <c r="A147">
        <v>63497</v>
      </c>
      <c r="B147" t="s">
        <v>6</v>
      </c>
      <c r="C147" t="s">
        <v>189</v>
      </c>
      <c r="E147" s="1">
        <v>44851.199305555558</v>
      </c>
      <c r="F147" t="s">
        <v>185</v>
      </c>
      <c r="G147" t="s">
        <v>297</v>
      </c>
      <c r="J147" s="3" t="s">
        <v>307</v>
      </c>
    </row>
    <row r="148" spans="1:13" x14ac:dyDescent="0.2">
      <c r="A148">
        <v>63497</v>
      </c>
      <c r="B148" t="s">
        <v>6</v>
      </c>
      <c r="C148" t="s">
        <v>190</v>
      </c>
      <c r="E148" s="1">
        <v>44851.199305555558</v>
      </c>
      <c r="F148" t="s">
        <v>185</v>
      </c>
      <c r="G148" t="s">
        <v>290</v>
      </c>
      <c r="J148" s="20" t="s">
        <v>366</v>
      </c>
      <c r="M148" s="8" t="s">
        <v>333</v>
      </c>
    </row>
    <row r="149" spans="1:13" x14ac:dyDescent="0.2">
      <c r="A149">
        <v>63497</v>
      </c>
      <c r="B149" t="s">
        <v>6</v>
      </c>
      <c r="C149" t="s">
        <v>191</v>
      </c>
      <c r="E149" s="1">
        <v>44851.199305555558</v>
      </c>
      <c r="F149" t="s">
        <v>185</v>
      </c>
      <c r="G149" t="s">
        <v>297</v>
      </c>
      <c r="J149" s="3" t="s">
        <v>307</v>
      </c>
      <c r="K149" s="13" t="s">
        <v>308</v>
      </c>
      <c r="L149" t="s">
        <v>323</v>
      </c>
      <c r="M149" s="19" t="s">
        <v>363</v>
      </c>
    </row>
    <row r="150" spans="1:13" x14ac:dyDescent="0.2">
      <c r="A150">
        <v>70173</v>
      </c>
      <c r="B150" t="s">
        <v>6</v>
      </c>
      <c r="C150" t="s">
        <v>192</v>
      </c>
      <c r="D150" s="1">
        <v>45383.423611111109</v>
      </c>
      <c r="E150" t="s">
        <v>193</v>
      </c>
      <c r="G150" t="s">
        <v>247</v>
      </c>
      <c r="J150" t="str">
        <f>IFERROR(
  IF(OR(ISNUMBER(SEARCH("should be existed", G150)), ISNUMBER(SEARCH("should exist", G150)), ISNUMBER(SEARCH("should be in wikidata", G150)), ISNUMBER(SEARCH("exists", G150))), "Should Exist",
  IF(OR(ISNUMBER(SEARCH("need further define", G150)), ISNUMBER(SEARCH("should be further define", G150)), ISNUMBER(SEARCH("unclear", G150)), ISNUMBER(SEARCH("prefix", G150)), ISNUMBER(SEARCH("incomplete", G150))), "Need Clarification",
  IF(OR(ISNUMBER(SEARCH("encoding", G150)), ISNUMBER(SEARCH("‚Ä", G150)), ISNUMBER(SEARCH("â€™", G150)), ISNUMBER(SEARCH("apostrophe", G150)), ISNUMBER(SEARCH("character", G150))), "Encoding Issue",
  IF(OR(ISNUMBER(SEARCH("not an organization", G150)), ISNUMBER(SEARCH("not org", G150)), ISNUMBER(SEARCH("title", G150)), ISNUMBER(SEARCH("initiative", G150)), ISNUMBER(SEARCH("not be considered", G150))), "Not an Organization",
  IF(OR(ISNUMBER(SEARCH("ambiguity", G150)), ISNUMBER(SEARCH("generic", G150)), ISNUMBER(SEARCH("common", G150)), ISNUMBER(SEARCH("similar name", G150))), "Name Ambiguity",
  IF(OR(ISNUMBER(SEARCH("abbreviation", G150)), ISNUMBER(SEARCH("short form", G150)), ISNUMBER(SEARCH("acronym", G150)), ISNUMBER(SEARCH("'s", G150)), ISNUMBER(SEARCH("variant", G150))), "Abbreviation Issue",
  IF(OR(ISNUMBER(SEARCH("does not exist", G150)), ISNUMBER(SEARCH("cannot find", G150)), ISNUMBER(SEARCH("no entry", G150)), ISNUMBER(SEARCH("not found", G150)), ISNUMBER(SEARCH("no such organization", G150))), "Does Not Exist",
  IF(OR(ISNUMBER(SEARCH("wrong classification", G150)), ISNUMBER(SEARCH("misidentified", G150)), ISNUMBER(SEARCH("recognitive error", G150)), ISNUMBER(SEARCH("should not", G150))), "Wrong Classification",
  IF(OR(ISNUMBER(SEARCH("repeated", G150)), ISNUMBER(SEARCH("duplicate", G150))), "Duplicated",
  IF(OR(ISNUMBER(SEARCH("split", G150)), ISNUMBER(SEARCH("separate into 2", G150)), ISNUMBER(SEARCH("contains 2 org", G150))), "Split Needed", "not find on wikidata, but exist")))))))))),"not find on wikidata, but exist")</f>
        <v>Encoding Issue</v>
      </c>
    </row>
    <row r="151" spans="1:13" x14ac:dyDescent="0.2">
      <c r="A151">
        <v>70173</v>
      </c>
      <c r="B151" t="s">
        <v>6</v>
      </c>
      <c r="C151" t="s">
        <v>194</v>
      </c>
      <c r="E151" s="1">
        <v>45383.423611111109</v>
      </c>
      <c r="F151" t="s">
        <v>193</v>
      </c>
      <c r="G151" t="s">
        <v>268</v>
      </c>
      <c r="J151" s="20" t="s">
        <v>366</v>
      </c>
      <c r="M151" s="7" t="s">
        <v>326</v>
      </c>
    </row>
    <row r="152" spans="1:13" x14ac:dyDescent="0.2">
      <c r="A152">
        <v>70173</v>
      </c>
      <c r="B152" t="s">
        <v>6</v>
      </c>
      <c r="C152" t="s">
        <v>195</v>
      </c>
      <c r="E152" s="1">
        <v>45383.423611111109</v>
      </c>
      <c r="F152" t="s">
        <v>193</v>
      </c>
      <c r="G152" t="s">
        <v>268</v>
      </c>
      <c r="J152" s="20" t="s">
        <v>366</v>
      </c>
      <c r="M152" s="7" t="s">
        <v>326</v>
      </c>
    </row>
    <row r="153" spans="1:13" x14ac:dyDescent="0.2">
      <c r="A153">
        <v>70173</v>
      </c>
      <c r="B153" t="s">
        <v>6</v>
      </c>
      <c r="C153" t="s">
        <v>196</v>
      </c>
      <c r="E153" s="1">
        <v>45383.423611111109</v>
      </c>
      <c r="F153" t="s">
        <v>193</v>
      </c>
      <c r="G153" t="s">
        <v>291</v>
      </c>
      <c r="J153" s="14" t="s">
        <v>303</v>
      </c>
    </row>
    <row r="154" spans="1:13" x14ac:dyDescent="0.2">
      <c r="A154">
        <v>70173</v>
      </c>
      <c r="B154" t="s">
        <v>6</v>
      </c>
      <c r="C154" t="s">
        <v>197</v>
      </c>
      <c r="E154" s="1">
        <v>45383.423611111109</v>
      </c>
      <c r="F154" t="s">
        <v>193</v>
      </c>
      <c r="G154" t="s">
        <v>297</v>
      </c>
      <c r="J154" s="17" t="str">
        <f>IFERROR(
  IF(OR(ISNUMBER(SEARCH("should be existed", G154)), ISNUMBER(SEARCH("should exist", G154)), ISNUMBER(SEARCH("should be in wikidata", G154)), ISNUMBER(SEARCH("exists", G154))), "Should Exist",
  IF(OR(ISNUMBER(SEARCH("need further define", G154)), ISNUMBER(SEARCH("should be further define", G154)), ISNUMBER(SEARCH("unclear", G154)), ISNUMBER(SEARCH("prefix", G154)), ISNUMBER(SEARCH("incomplete", G154))), "Need Clarification",
  IF(OR(ISNUMBER(SEARCH("encoding", G154)), ISNUMBER(SEARCH("‚Ä", G154)), ISNUMBER(SEARCH("â€™", G154)), ISNUMBER(SEARCH("apostrophe", G154)), ISNUMBER(SEARCH("character", G154))), "Encoding Issue",
  IF(OR(ISNUMBER(SEARCH("not an organization", G154)), ISNUMBER(SEARCH("not org", G154)), ISNUMBER(SEARCH("title", G154)), ISNUMBER(SEARCH("initiative", G154)), ISNUMBER(SEARCH("not be considered", G154))), "Not an Organization",
  IF(OR(ISNUMBER(SEARCH("ambiguity", G154)), ISNUMBER(SEARCH("generic", G154)), ISNUMBER(SEARCH("common", G154)), ISNUMBER(SEARCH("similar name", G154))), "Name Ambiguity",
  IF(OR(ISNUMBER(SEARCH("abbreviation", G154)), ISNUMBER(SEARCH("short form", G154)), ISNUMBER(SEARCH("acronym", G154)), ISNUMBER(SEARCH("'s", G154)), ISNUMBER(SEARCH("variant", G154))), "Abbreviation Issue",
  IF(OR(ISNUMBER(SEARCH("does not exist", G154)), ISNUMBER(SEARCH("cannot find", G154)), ISNUMBER(SEARCH("no entry", G154)), ISNUMBER(SEARCH("not found", G154)), ISNUMBER(SEARCH("no such organization", G154))), "Does Not Exist",
  IF(OR(ISNUMBER(SEARCH("wrong classification", G154)), ISNUMBER(SEARCH("misidentified", G154)), ISNUMBER(SEARCH("recognitive error", G154)), ISNUMBER(SEARCH("should not", G154))), "Wrong Classification",
  IF(OR(ISNUMBER(SEARCH("repeated", G154)), ISNUMBER(SEARCH("duplicate", G154))), "Duplicated",
  IF(OR(ISNUMBER(SEARCH("split", G154)), ISNUMBER(SEARCH("separate into 2", G154)), ISNUMBER(SEARCH("contains 2 org", G154))), "Split Needed", "not find on wikidata, but exist")))))))))),"not find on wikidata, but exist")</f>
        <v>Should Exist</v>
      </c>
    </row>
    <row r="155" spans="1:13" x14ac:dyDescent="0.2">
      <c r="A155">
        <v>70173</v>
      </c>
      <c r="B155" t="s">
        <v>6</v>
      </c>
      <c r="C155" t="s">
        <v>198</v>
      </c>
      <c r="E155" s="1">
        <v>45383.423611111109</v>
      </c>
      <c r="F155" t="s">
        <v>193</v>
      </c>
      <c r="G155" t="s">
        <v>274</v>
      </c>
      <c r="J155" t="s">
        <v>305</v>
      </c>
    </row>
    <row r="156" spans="1:13" x14ac:dyDescent="0.2">
      <c r="A156">
        <v>70173</v>
      </c>
      <c r="B156" t="s">
        <v>6</v>
      </c>
      <c r="C156" t="s">
        <v>199</v>
      </c>
      <c r="E156" s="1">
        <v>45383.423611111109</v>
      </c>
      <c r="F156" t="s">
        <v>193</v>
      </c>
      <c r="G156" t="s">
        <v>297</v>
      </c>
      <c r="J156" s="3" t="s">
        <v>307</v>
      </c>
      <c r="K156" t="s">
        <v>316</v>
      </c>
      <c r="M156" s="18" t="s">
        <v>357</v>
      </c>
    </row>
    <row r="157" spans="1:13" x14ac:dyDescent="0.2">
      <c r="A157">
        <v>70173</v>
      </c>
      <c r="B157" t="s">
        <v>6</v>
      </c>
      <c r="C157" t="s">
        <v>200</v>
      </c>
      <c r="E157" s="1">
        <v>45383.423611111109</v>
      </c>
      <c r="F157" t="s">
        <v>193</v>
      </c>
      <c r="G157" t="s">
        <v>274</v>
      </c>
      <c r="J157" t="s">
        <v>305</v>
      </c>
    </row>
    <row r="158" spans="1:13" x14ac:dyDescent="0.2">
      <c r="A158">
        <v>73059</v>
      </c>
      <c r="B158" t="s">
        <v>6</v>
      </c>
      <c r="C158" t="s">
        <v>201</v>
      </c>
      <c r="E158" s="1">
        <v>45327.076388888891</v>
      </c>
      <c r="F158" t="s">
        <v>202</v>
      </c>
      <c r="G158" t="s">
        <v>336</v>
      </c>
      <c r="J158" s="14" t="s">
        <v>303</v>
      </c>
    </row>
    <row r="159" spans="1:13" x14ac:dyDescent="0.2">
      <c r="A159">
        <v>73059</v>
      </c>
      <c r="B159" t="s">
        <v>6</v>
      </c>
      <c r="C159" t="s">
        <v>203</v>
      </c>
      <c r="E159" s="1">
        <v>45327.076388888891</v>
      </c>
      <c r="F159" t="s">
        <v>202</v>
      </c>
      <c r="G159" t="s">
        <v>274</v>
      </c>
      <c r="J159" t="s">
        <v>305</v>
      </c>
    </row>
    <row r="160" spans="1:13" x14ac:dyDescent="0.2">
      <c r="A160">
        <v>73059</v>
      </c>
      <c r="B160" t="s">
        <v>6</v>
      </c>
      <c r="C160" t="s">
        <v>204</v>
      </c>
      <c r="E160" s="1">
        <v>45327.076388888891</v>
      </c>
      <c r="F160" t="s">
        <v>202</v>
      </c>
      <c r="G160" t="s">
        <v>255</v>
      </c>
      <c r="J160" s="14" t="str">
        <f>IFERROR(
  IF(OR(ISNUMBER(SEARCH("should be existed", G160)), ISNUMBER(SEARCH("should exist", G160)), ISNUMBER(SEARCH("should be in wikidata", G160)), ISNUMBER(SEARCH("exists", G160))), "Should Exist",
  IF(OR(ISNUMBER(SEARCH("need further define", G160)), ISNUMBER(SEARCH("should be further define", G160)), ISNUMBER(SEARCH("unclear", G160)), ISNUMBER(SEARCH("prefix", G160)), ISNUMBER(SEARCH("incomplete", G160))), "Need Clarification",
  IF(OR(ISNUMBER(SEARCH("encoding", G160)), ISNUMBER(SEARCH("‚Ä", G160)), ISNUMBER(SEARCH("â€™", G160)), ISNUMBER(SEARCH("apostrophe", G160)), ISNUMBER(SEARCH("character", G160))), "Encoding Issue",
  IF(OR(ISNUMBER(SEARCH("not an organization", G160)), ISNUMBER(SEARCH("not org", G160)), ISNUMBER(SEARCH("title", G160)), ISNUMBER(SEARCH("initiative", G160)), ISNUMBER(SEARCH("not be considered", G160))), "Not an Organization",
  IF(OR(ISNUMBER(SEARCH("ambiguity", G160)), ISNUMBER(SEARCH("generic", G160)), ISNUMBER(SEARCH("common", G160)), ISNUMBER(SEARCH("similar name", G160))), "Name Ambiguity",
  IF(OR(ISNUMBER(SEARCH("abbreviation", G160)), ISNUMBER(SEARCH("short form", G160)), ISNUMBER(SEARCH("acronym", G160)), ISNUMBER(SEARCH("'s", G160)), ISNUMBER(SEARCH("variant", G160))), "Abbreviation Issue",
  IF(OR(ISNUMBER(SEARCH("does not exist", G160)), ISNUMBER(SEARCH("cannot find", G160)), ISNUMBER(SEARCH("no entry", G160)), ISNUMBER(SEARCH("not found", G160)), ISNUMBER(SEARCH("no such organization", G160))), "Does Not Exist",
  IF(OR(ISNUMBER(SEARCH("wrong classification", G160)), ISNUMBER(SEARCH("misidentified", G160)), ISNUMBER(SEARCH("recognitive error", G160)), ISNUMBER(SEARCH("should not", G160))), "Wrong Classification",
  IF(OR(ISNUMBER(SEARCH("repeated", G160)), ISNUMBER(SEARCH("duplicate", G160))), "Duplicated",
  IF(OR(ISNUMBER(SEARCH("split", G160)), ISNUMBER(SEARCH("separate into 2", G160)), ISNUMBER(SEARCH("contains 2 org", G160))), "Split Needed", "not find on wikidata, but exist")))))))))),"not find on wikidata, but exist")</f>
        <v>Name Ambiguity</v>
      </c>
    </row>
    <row r="161" spans="1:13" x14ac:dyDescent="0.2">
      <c r="A161">
        <v>73059</v>
      </c>
      <c r="B161" t="s">
        <v>6</v>
      </c>
      <c r="C161" t="s">
        <v>205</v>
      </c>
      <c r="E161" s="1">
        <v>45327.076388888891</v>
      </c>
      <c r="F161" t="s">
        <v>202</v>
      </c>
      <c r="G161" t="s">
        <v>255</v>
      </c>
      <c r="J161" s="14" t="str">
        <f>IFERROR(
  IF(OR(ISNUMBER(SEARCH("should be existed", G161)), ISNUMBER(SEARCH("should exist", G161)), ISNUMBER(SEARCH("should be in wikidata", G161)), ISNUMBER(SEARCH("exists", G161))), "Should Exist",
  IF(OR(ISNUMBER(SEARCH("need further define", G161)), ISNUMBER(SEARCH("should be further define", G161)), ISNUMBER(SEARCH("unclear", G161)), ISNUMBER(SEARCH("prefix", G161)), ISNUMBER(SEARCH("incomplete", G161))), "Need Clarification",
  IF(OR(ISNUMBER(SEARCH("encoding", G161)), ISNUMBER(SEARCH("‚Ä", G161)), ISNUMBER(SEARCH("â€™", G161)), ISNUMBER(SEARCH("apostrophe", G161)), ISNUMBER(SEARCH("character", G161))), "Encoding Issue",
  IF(OR(ISNUMBER(SEARCH("not an organization", G161)), ISNUMBER(SEARCH("not org", G161)), ISNUMBER(SEARCH("title", G161)), ISNUMBER(SEARCH("initiative", G161)), ISNUMBER(SEARCH("not be considered", G161))), "Not an Organization",
  IF(OR(ISNUMBER(SEARCH("ambiguity", G161)), ISNUMBER(SEARCH("generic", G161)), ISNUMBER(SEARCH("common", G161)), ISNUMBER(SEARCH("similar name", G161))), "Name Ambiguity",
  IF(OR(ISNUMBER(SEARCH("abbreviation", G161)), ISNUMBER(SEARCH("short form", G161)), ISNUMBER(SEARCH("acronym", G161)), ISNUMBER(SEARCH("'s", G161)), ISNUMBER(SEARCH("variant", G161))), "Abbreviation Issue",
  IF(OR(ISNUMBER(SEARCH("does not exist", G161)), ISNUMBER(SEARCH("cannot find", G161)), ISNUMBER(SEARCH("no entry", G161)), ISNUMBER(SEARCH("not found", G161)), ISNUMBER(SEARCH("no such organization", G161))), "Does Not Exist",
  IF(OR(ISNUMBER(SEARCH("wrong classification", G161)), ISNUMBER(SEARCH("misidentified", G161)), ISNUMBER(SEARCH("recognitive error", G161)), ISNUMBER(SEARCH("should not", G161))), "Wrong Classification",
  IF(OR(ISNUMBER(SEARCH("repeated", G161)), ISNUMBER(SEARCH("duplicate", G161))), "Duplicated",
  IF(OR(ISNUMBER(SEARCH("split", G161)), ISNUMBER(SEARCH("separate into 2", G161)), ISNUMBER(SEARCH("contains 2 org", G161))), "Split Needed", "not find on wikidata, but exist")))))))))),"not find on wikidata, but exist")</f>
        <v>Name Ambiguity</v>
      </c>
    </row>
    <row r="162" spans="1:13" x14ac:dyDescent="0.2">
      <c r="A162">
        <v>73059</v>
      </c>
      <c r="B162" t="s">
        <v>6</v>
      </c>
      <c r="C162" t="s">
        <v>206</v>
      </c>
      <c r="E162" s="1">
        <v>45327.076388888891</v>
      </c>
      <c r="F162" t="s">
        <v>202</v>
      </c>
      <c r="G162" t="s">
        <v>274</v>
      </c>
      <c r="J162" t="s">
        <v>305</v>
      </c>
    </row>
    <row r="163" spans="1:13" x14ac:dyDescent="0.2">
      <c r="A163">
        <v>73059</v>
      </c>
      <c r="B163" t="s">
        <v>6</v>
      </c>
      <c r="C163" t="s">
        <v>207</v>
      </c>
      <c r="E163" s="1">
        <v>45327.076388888891</v>
      </c>
      <c r="F163" t="s">
        <v>202</v>
      </c>
      <c r="G163" t="s">
        <v>292</v>
      </c>
      <c r="J163" t="s">
        <v>305</v>
      </c>
    </row>
    <row r="164" spans="1:13" x14ac:dyDescent="0.2">
      <c r="A164">
        <v>73059</v>
      </c>
      <c r="B164" t="s">
        <v>6</v>
      </c>
      <c r="C164" t="s">
        <v>208</v>
      </c>
      <c r="D164" s="1">
        <v>45327.076388888891</v>
      </c>
      <c r="E164" t="s">
        <v>202</v>
      </c>
      <c r="G164" t="s">
        <v>330</v>
      </c>
      <c r="J164" s="14" t="s">
        <v>303</v>
      </c>
    </row>
    <row r="165" spans="1:13" x14ac:dyDescent="0.2">
      <c r="A165">
        <v>74286</v>
      </c>
      <c r="B165" t="s">
        <v>6</v>
      </c>
      <c r="C165" t="s">
        <v>209</v>
      </c>
      <c r="E165" s="1">
        <v>45400.504166666666</v>
      </c>
      <c r="F165" t="s">
        <v>210</v>
      </c>
      <c r="G165" t="s">
        <v>257</v>
      </c>
      <c r="J165" s="3" t="s">
        <v>307</v>
      </c>
      <c r="K165" t="s">
        <v>317</v>
      </c>
    </row>
    <row r="166" spans="1:13" x14ac:dyDescent="0.2">
      <c r="A166">
        <v>74286</v>
      </c>
      <c r="B166" t="s">
        <v>6</v>
      </c>
      <c r="C166" t="s">
        <v>211</v>
      </c>
      <c r="E166" s="1">
        <v>45400.504166666666</v>
      </c>
      <c r="F166" t="s">
        <v>210</v>
      </c>
      <c r="G166" t="s">
        <v>293</v>
      </c>
      <c r="J166" s="3" t="s">
        <v>307</v>
      </c>
      <c r="K166" t="s">
        <v>318</v>
      </c>
      <c r="M166" s="14" t="s">
        <v>303</v>
      </c>
    </row>
    <row r="167" spans="1:13" x14ac:dyDescent="0.2">
      <c r="A167">
        <v>74286</v>
      </c>
      <c r="B167" t="s">
        <v>6</v>
      </c>
      <c r="C167" t="s">
        <v>212</v>
      </c>
      <c r="E167" s="1">
        <v>45400.504166666666</v>
      </c>
      <c r="F167" t="s">
        <v>210</v>
      </c>
      <c r="G167" t="s">
        <v>268</v>
      </c>
      <c r="J167" s="20" t="s">
        <v>366</v>
      </c>
      <c r="M167" s="7" t="s">
        <v>326</v>
      </c>
    </row>
    <row r="168" spans="1:13" x14ac:dyDescent="0.2">
      <c r="A168">
        <v>74286</v>
      </c>
      <c r="B168" t="s">
        <v>6</v>
      </c>
      <c r="C168" t="s">
        <v>213</v>
      </c>
      <c r="E168" s="1">
        <v>45400.504166666666</v>
      </c>
      <c r="F168" t="s">
        <v>210</v>
      </c>
      <c r="G168" t="s">
        <v>274</v>
      </c>
      <c r="J168" t="s">
        <v>305</v>
      </c>
    </row>
    <row r="169" spans="1:13" x14ac:dyDescent="0.2">
      <c r="A169">
        <v>74286</v>
      </c>
      <c r="B169" t="s">
        <v>6</v>
      </c>
      <c r="C169" t="s">
        <v>214</v>
      </c>
      <c r="D169" s="1">
        <v>45400.504166666666</v>
      </c>
      <c r="E169" t="s">
        <v>210</v>
      </c>
      <c r="G169" t="s">
        <v>247</v>
      </c>
      <c r="J169" t="str">
        <f>IFERROR(
  IF(OR(ISNUMBER(SEARCH("should be existed", G169)), ISNUMBER(SEARCH("should exist", G169)), ISNUMBER(SEARCH("should be in wikidata", G169)), ISNUMBER(SEARCH("exists", G169))), "Should Exist",
  IF(OR(ISNUMBER(SEARCH("need further define", G169)), ISNUMBER(SEARCH("should be further define", G169)), ISNUMBER(SEARCH("unclear", G169)), ISNUMBER(SEARCH("prefix", G169)), ISNUMBER(SEARCH("incomplete", G169))), "Need Clarification",
  IF(OR(ISNUMBER(SEARCH("encoding", G169)), ISNUMBER(SEARCH("‚Ä", G169)), ISNUMBER(SEARCH("â€™", G169)), ISNUMBER(SEARCH("apostrophe", G169)), ISNUMBER(SEARCH("character", G169))), "Encoding Issue",
  IF(OR(ISNUMBER(SEARCH("not an organization", G169)), ISNUMBER(SEARCH("not org", G169)), ISNUMBER(SEARCH("title", G169)), ISNUMBER(SEARCH("initiative", G169)), ISNUMBER(SEARCH("not be considered", G169))), "Not an Organization",
  IF(OR(ISNUMBER(SEARCH("ambiguity", G169)), ISNUMBER(SEARCH("generic", G169)), ISNUMBER(SEARCH("common", G169)), ISNUMBER(SEARCH("similar name", G169))), "Name Ambiguity",
  IF(OR(ISNUMBER(SEARCH("abbreviation", G169)), ISNUMBER(SEARCH("short form", G169)), ISNUMBER(SEARCH("acronym", G169)), ISNUMBER(SEARCH("'s", G169)), ISNUMBER(SEARCH("variant", G169))), "Abbreviation Issue",
  IF(OR(ISNUMBER(SEARCH("does not exist", G169)), ISNUMBER(SEARCH("cannot find", G169)), ISNUMBER(SEARCH("no entry", G169)), ISNUMBER(SEARCH("not found", G169)), ISNUMBER(SEARCH("no such organization", G169))), "Does Not Exist",
  IF(OR(ISNUMBER(SEARCH("wrong classification", G169)), ISNUMBER(SEARCH("misidentified", G169)), ISNUMBER(SEARCH("recognitive error", G169)), ISNUMBER(SEARCH("should not", G169))), "Wrong Classification",
  IF(OR(ISNUMBER(SEARCH("repeated", G169)), ISNUMBER(SEARCH("duplicate", G169))), "Duplicated",
  IF(OR(ISNUMBER(SEARCH("split", G169)), ISNUMBER(SEARCH("separate into 2", G169)), ISNUMBER(SEARCH("contains 2 org", G169))), "Split Needed", "not find on wikidata, but exist")))))))))),"not find on wikidata, but exist")</f>
        <v>Encoding Issue</v>
      </c>
    </row>
    <row r="170" spans="1:13" x14ac:dyDescent="0.2">
      <c r="A170">
        <v>74286</v>
      </c>
      <c r="B170" t="s">
        <v>6</v>
      </c>
      <c r="C170" t="s">
        <v>215</v>
      </c>
      <c r="D170" s="1">
        <v>45400.504166666666</v>
      </c>
      <c r="E170" t="s">
        <v>210</v>
      </c>
      <c r="G170" t="s">
        <v>297</v>
      </c>
      <c r="J170" s="3" t="s">
        <v>307</v>
      </c>
    </row>
    <row r="171" spans="1:13" x14ac:dyDescent="0.2">
      <c r="A171">
        <v>74286</v>
      </c>
      <c r="B171" t="s">
        <v>6</v>
      </c>
      <c r="C171" t="s">
        <v>216</v>
      </c>
      <c r="D171" s="1">
        <v>45400.504166666666</v>
      </c>
      <c r="E171" t="s">
        <v>210</v>
      </c>
      <c r="G171" t="s">
        <v>294</v>
      </c>
      <c r="J171" s="14" t="str">
        <f>IFERROR(
  IF(OR(ISNUMBER(SEARCH("should be existed", G171)), ISNUMBER(SEARCH("should exist", G171)), ISNUMBER(SEARCH("should be in wikidata", G171)), ISNUMBER(SEARCH("exists", G171))), "Should Exist",
  IF(OR(ISNUMBER(SEARCH("need further define", G171)), ISNUMBER(SEARCH("should be further define", G171)), ISNUMBER(SEARCH("unclear", G171)), ISNUMBER(SEARCH("prefix", G171)), ISNUMBER(SEARCH("incomplete", G171))), "Need Clarification",
  IF(OR(ISNUMBER(SEARCH("encoding", G171)), ISNUMBER(SEARCH("‚Ä", G171)), ISNUMBER(SEARCH("â€™", G171)), ISNUMBER(SEARCH("apostrophe", G171)), ISNUMBER(SEARCH("character", G171))), "Encoding Issue",
  IF(OR(ISNUMBER(SEARCH("not an organization", G171)), ISNUMBER(SEARCH("not org", G171)), ISNUMBER(SEARCH("title", G171)), ISNUMBER(SEARCH("initiative", G171)), ISNUMBER(SEARCH("not be considered", G171))), "Not an Organization",
  IF(OR(ISNUMBER(SEARCH("ambiguity", G171)), ISNUMBER(SEARCH("generic", G171)), ISNUMBER(SEARCH("common", G171)), ISNUMBER(SEARCH("similar name", G171))), "Name Ambiguity",
  IF(OR(ISNUMBER(SEARCH("abbreviation", G171)), ISNUMBER(SEARCH("short form", G171)), ISNUMBER(SEARCH("acronym", G171)), ISNUMBER(SEARCH("'s", G171)), ISNUMBER(SEARCH("variant", G171))), "Abbreviation Issue",
  IF(OR(ISNUMBER(SEARCH("does not exist", G171)), ISNUMBER(SEARCH("cannot find", G171)), ISNUMBER(SEARCH("no entry", G171)), ISNUMBER(SEARCH("not found", G171)), ISNUMBER(SEARCH("no such organization", G171))), "Does Not Exist",
  IF(OR(ISNUMBER(SEARCH("wrong classification", G171)), ISNUMBER(SEARCH("misidentified", G171)), ISNUMBER(SEARCH("recognitive error", G171)), ISNUMBER(SEARCH("should not", G171))), "Wrong Classification",
  IF(OR(ISNUMBER(SEARCH("repeated", G171)), ISNUMBER(SEARCH("duplicate", G171))), "Duplicated",
  IF(OR(ISNUMBER(SEARCH("split", G171)), ISNUMBER(SEARCH("separate into 2", G171)), ISNUMBER(SEARCH("contains 2 org", G171))), "Split Needed", "not find on wikidata, but exist")))))))))),"not find on wikidata, but exist")</f>
        <v>Name Ambiguity</v>
      </c>
    </row>
    <row r="172" spans="1:13" x14ac:dyDescent="0.2">
      <c r="A172">
        <v>74286</v>
      </c>
      <c r="B172" t="s">
        <v>6</v>
      </c>
      <c r="C172" t="s">
        <v>217</v>
      </c>
      <c r="D172" s="1">
        <v>45400.504166666666</v>
      </c>
      <c r="E172" t="s">
        <v>210</v>
      </c>
      <c r="G172" t="s">
        <v>297</v>
      </c>
      <c r="J172" s="3" t="s">
        <v>307</v>
      </c>
    </row>
    <row r="173" spans="1:13" x14ac:dyDescent="0.2">
      <c r="A173">
        <v>74707</v>
      </c>
      <c r="B173" t="s">
        <v>6</v>
      </c>
      <c r="C173" t="s">
        <v>218</v>
      </c>
      <c r="D173" s="1">
        <v>45359</v>
      </c>
      <c r="E173" t="s">
        <v>219</v>
      </c>
      <c r="G173" t="s">
        <v>297</v>
      </c>
      <c r="J173" s="3" t="s">
        <v>307</v>
      </c>
    </row>
    <row r="174" spans="1:13" x14ac:dyDescent="0.2">
      <c r="A174">
        <v>74707</v>
      </c>
      <c r="B174" t="s">
        <v>6</v>
      </c>
      <c r="C174" t="s">
        <v>220</v>
      </c>
      <c r="E174" s="1">
        <v>45359</v>
      </c>
      <c r="F174" t="s">
        <v>219</v>
      </c>
      <c r="G174" t="s">
        <v>274</v>
      </c>
      <c r="J174" t="s">
        <v>305</v>
      </c>
    </row>
    <row r="175" spans="1:13" x14ac:dyDescent="0.2">
      <c r="A175">
        <v>74707</v>
      </c>
      <c r="B175" t="s">
        <v>6</v>
      </c>
      <c r="C175" t="s">
        <v>221</v>
      </c>
      <c r="E175" s="1">
        <v>45359</v>
      </c>
      <c r="F175" t="s">
        <v>219</v>
      </c>
      <c r="G175" t="s">
        <v>297</v>
      </c>
      <c r="J175" s="3" t="s">
        <v>307</v>
      </c>
      <c r="K175" s="13" t="s">
        <v>308</v>
      </c>
      <c r="L175" t="s">
        <v>323</v>
      </c>
      <c r="M175" s="19" t="s">
        <v>363</v>
      </c>
    </row>
    <row r="176" spans="1:13" x14ac:dyDescent="0.2">
      <c r="A176">
        <v>74707</v>
      </c>
      <c r="B176" t="s">
        <v>6</v>
      </c>
      <c r="C176" t="s">
        <v>222</v>
      </c>
      <c r="D176" s="1">
        <v>45359</v>
      </c>
      <c r="E176" t="s">
        <v>219</v>
      </c>
      <c r="G176" t="s">
        <v>255</v>
      </c>
      <c r="J176" s="14" t="str">
        <f>IFERROR(
  IF(OR(ISNUMBER(SEARCH("should be existed", G176)), ISNUMBER(SEARCH("should exist", G176)), ISNUMBER(SEARCH("should be in wikidata", G176)), ISNUMBER(SEARCH("exists", G176))), "Should Exist",
  IF(OR(ISNUMBER(SEARCH("need further define", G176)), ISNUMBER(SEARCH("should be further define", G176)), ISNUMBER(SEARCH("unclear", G176)), ISNUMBER(SEARCH("prefix", G176)), ISNUMBER(SEARCH("incomplete", G176))), "Need Clarification",
  IF(OR(ISNUMBER(SEARCH("encoding", G176)), ISNUMBER(SEARCH("‚Ä", G176)), ISNUMBER(SEARCH("â€™", G176)), ISNUMBER(SEARCH("apostrophe", G176)), ISNUMBER(SEARCH("character", G176))), "Encoding Issue",
  IF(OR(ISNUMBER(SEARCH("not an organization", G176)), ISNUMBER(SEARCH("not org", G176)), ISNUMBER(SEARCH("title", G176)), ISNUMBER(SEARCH("initiative", G176)), ISNUMBER(SEARCH("not be considered", G176))), "Not an Organization",
  IF(OR(ISNUMBER(SEARCH("ambiguity", G176)), ISNUMBER(SEARCH("generic", G176)), ISNUMBER(SEARCH("common", G176)), ISNUMBER(SEARCH("similar name", G176))), "Name Ambiguity",
  IF(OR(ISNUMBER(SEARCH("abbreviation", G176)), ISNUMBER(SEARCH("short form", G176)), ISNUMBER(SEARCH("acronym", G176)), ISNUMBER(SEARCH("'s", G176)), ISNUMBER(SEARCH("variant", G176))), "Abbreviation Issue",
  IF(OR(ISNUMBER(SEARCH("does not exist", G176)), ISNUMBER(SEARCH("cannot find", G176)), ISNUMBER(SEARCH("no entry", G176)), ISNUMBER(SEARCH("not found", G176)), ISNUMBER(SEARCH("no such organization", G176))), "Does Not Exist",
  IF(OR(ISNUMBER(SEARCH("wrong classification", G176)), ISNUMBER(SEARCH("misidentified", G176)), ISNUMBER(SEARCH("recognitive error", G176)), ISNUMBER(SEARCH("should not", G176))), "Wrong Classification",
  IF(OR(ISNUMBER(SEARCH("repeated", G176)), ISNUMBER(SEARCH("duplicate", G176))), "Duplicated",
  IF(OR(ISNUMBER(SEARCH("split", G176)), ISNUMBER(SEARCH("separate into 2", G176)), ISNUMBER(SEARCH("contains 2 org", G176))), "Split Needed", "not find on wikidata, but exist")))))))))),"not find on wikidata, but exist")</f>
        <v>Name Ambiguity</v>
      </c>
    </row>
    <row r="177" spans="1:13" x14ac:dyDescent="0.2">
      <c r="A177">
        <v>76952</v>
      </c>
      <c r="B177" t="s">
        <v>6</v>
      </c>
      <c r="C177" t="s">
        <v>223</v>
      </c>
      <c r="D177" s="1">
        <v>45387.326388888891</v>
      </c>
      <c r="E177" t="s">
        <v>224</v>
      </c>
      <c r="G177" t="s">
        <v>255</v>
      </c>
      <c r="J177" s="14" t="str">
        <f>IFERROR(
  IF(OR(ISNUMBER(SEARCH("should be existed", G177)), ISNUMBER(SEARCH("should exist", G177)), ISNUMBER(SEARCH("should be in wikidata", G177)), ISNUMBER(SEARCH("exists", G177))), "Should Exist",
  IF(OR(ISNUMBER(SEARCH("need further define", G177)), ISNUMBER(SEARCH("should be further define", G177)), ISNUMBER(SEARCH("unclear", G177)), ISNUMBER(SEARCH("prefix", G177)), ISNUMBER(SEARCH("incomplete", G177))), "Need Clarification",
  IF(OR(ISNUMBER(SEARCH("encoding", G177)), ISNUMBER(SEARCH("‚Ä", G177)), ISNUMBER(SEARCH("â€™", G177)), ISNUMBER(SEARCH("apostrophe", G177)), ISNUMBER(SEARCH("character", G177))), "Encoding Issue",
  IF(OR(ISNUMBER(SEARCH("not an organization", G177)), ISNUMBER(SEARCH("not org", G177)), ISNUMBER(SEARCH("title", G177)), ISNUMBER(SEARCH("initiative", G177)), ISNUMBER(SEARCH("not be considered", G177))), "Not an Organization",
  IF(OR(ISNUMBER(SEARCH("ambiguity", G177)), ISNUMBER(SEARCH("generic", G177)), ISNUMBER(SEARCH("common", G177)), ISNUMBER(SEARCH("similar name", G177))), "Name Ambiguity",
  IF(OR(ISNUMBER(SEARCH("abbreviation", G177)), ISNUMBER(SEARCH("short form", G177)), ISNUMBER(SEARCH("acronym", G177)), ISNUMBER(SEARCH("'s", G177)), ISNUMBER(SEARCH("variant", G177))), "Abbreviation Issue",
  IF(OR(ISNUMBER(SEARCH("does not exist", G177)), ISNUMBER(SEARCH("cannot find", G177)), ISNUMBER(SEARCH("no entry", G177)), ISNUMBER(SEARCH("not found", G177)), ISNUMBER(SEARCH("no such organization", G177))), "Does Not Exist",
  IF(OR(ISNUMBER(SEARCH("wrong classification", G177)), ISNUMBER(SEARCH("misidentified", G177)), ISNUMBER(SEARCH("recognitive error", G177)), ISNUMBER(SEARCH("should not", G177))), "Wrong Classification",
  IF(OR(ISNUMBER(SEARCH("repeated", G177)), ISNUMBER(SEARCH("duplicate", G177))), "Duplicated",
  IF(OR(ISNUMBER(SEARCH("split", G177)), ISNUMBER(SEARCH("separate into 2", G177)), ISNUMBER(SEARCH("contains 2 org", G177))), "Split Needed", "not find on wikidata, but exist")))))))))),"not find on wikidata, but exist")</f>
        <v>Name Ambiguity</v>
      </c>
    </row>
    <row r="178" spans="1:13" x14ac:dyDescent="0.2">
      <c r="A178">
        <v>78562</v>
      </c>
      <c r="B178" t="s">
        <v>6</v>
      </c>
      <c r="C178" t="s">
        <v>225</v>
      </c>
      <c r="E178" s="1">
        <v>45380.917361111111</v>
      </c>
      <c r="F178" t="s">
        <v>226</v>
      </c>
      <c r="G178" t="s">
        <v>337</v>
      </c>
      <c r="J178" t="s">
        <v>305</v>
      </c>
    </row>
    <row r="179" spans="1:13" x14ac:dyDescent="0.2">
      <c r="A179">
        <v>78562</v>
      </c>
      <c r="B179" t="s">
        <v>6</v>
      </c>
      <c r="C179" t="s">
        <v>227</v>
      </c>
      <c r="E179" s="1">
        <v>45380.917361111111</v>
      </c>
      <c r="F179" t="s">
        <v>226</v>
      </c>
      <c r="G179" t="s">
        <v>295</v>
      </c>
      <c r="J179" s="20" t="s">
        <v>366</v>
      </c>
      <c r="M179" s="8" t="s">
        <v>333</v>
      </c>
    </row>
    <row r="180" spans="1:13" x14ac:dyDescent="0.2">
      <c r="A180">
        <v>78562</v>
      </c>
      <c r="B180" t="s">
        <v>6</v>
      </c>
      <c r="C180" t="s">
        <v>228</v>
      </c>
      <c r="E180" s="1">
        <v>45380.917361111111</v>
      </c>
      <c r="F180" t="s">
        <v>226</v>
      </c>
      <c r="G180" t="s">
        <v>274</v>
      </c>
      <c r="J180" t="s">
        <v>305</v>
      </c>
    </row>
    <row r="181" spans="1:13" x14ac:dyDescent="0.2">
      <c r="A181">
        <v>78562</v>
      </c>
      <c r="B181" t="s">
        <v>6</v>
      </c>
      <c r="C181" t="s">
        <v>229</v>
      </c>
      <c r="E181" s="1">
        <v>45380.917361111111</v>
      </c>
      <c r="F181" t="s">
        <v>226</v>
      </c>
      <c r="G181" t="s">
        <v>296</v>
      </c>
      <c r="J181" s="14" t="str">
        <f>IFERROR(
  IF(OR(ISNUMBER(SEARCH("should be existed", G181)), ISNUMBER(SEARCH("should exist", G181)), ISNUMBER(SEARCH("should be in wikidata", G181)), ISNUMBER(SEARCH("exists", G181))), "Should Exist",
  IF(OR(ISNUMBER(SEARCH("need further define", G181)), ISNUMBER(SEARCH("should be further define", G181)), ISNUMBER(SEARCH("unclear", G181)), ISNUMBER(SEARCH("prefix", G181)), ISNUMBER(SEARCH("incomplete", G181))), "Need Clarification",
  IF(OR(ISNUMBER(SEARCH("encoding", G181)), ISNUMBER(SEARCH("‚Ä", G181)), ISNUMBER(SEARCH("â€™", G181)), ISNUMBER(SEARCH("apostrophe", G181)), ISNUMBER(SEARCH("character", G181))), "Encoding Issue",
  IF(OR(ISNUMBER(SEARCH("not an organization", G181)), ISNUMBER(SEARCH("not org", G181)), ISNUMBER(SEARCH("title", G181)), ISNUMBER(SEARCH("initiative", G181)), ISNUMBER(SEARCH("not be considered", G181))), "Not an Organization",
  IF(OR(ISNUMBER(SEARCH("ambiguity", G181)), ISNUMBER(SEARCH("generic", G181)), ISNUMBER(SEARCH("common", G181)), ISNUMBER(SEARCH("similar name", G181))), "Name Ambiguity",
  IF(OR(ISNUMBER(SEARCH("abbreviation", G181)), ISNUMBER(SEARCH("short form", G181)), ISNUMBER(SEARCH("acronym", G181)), ISNUMBER(SEARCH("'s", G181)), ISNUMBER(SEARCH("variant", G181))), "Abbreviation Issue",
  IF(OR(ISNUMBER(SEARCH("does not exist", G181)), ISNUMBER(SEARCH("cannot find", G181)), ISNUMBER(SEARCH("no entry", G181)), ISNUMBER(SEARCH("not found", G181)), ISNUMBER(SEARCH("no such organization", G181))), "Does Not Exist",
  IF(OR(ISNUMBER(SEARCH("wrong classification", G181)), ISNUMBER(SEARCH("misidentified", G181)), ISNUMBER(SEARCH("recognitive error", G181)), ISNUMBER(SEARCH("should not", G181))), "Wrong Classification",
  IF(OR(ISNUMBER(SEARCH("repeated", G181)), ISNUMBER(SEARCH("duplicate", G181))), "Duplicated",
  IF(OR(ISNUMBER(SEARCH("split", G181)), ISNUMBER(SEARCH("separate into 2", G181)), ISNUMBER(SEARCH("contains 2 org", G181))), "Split Needed", "not find on wikidata, but exist")))))))))),"not find on wikidata, but exist")</f>
        <v>Name Ambiguity</v>
      </c>
    </row>
    <row r="182" spans="1:13" x14ac:dyDescent="0.2">
      <c r="A182">
        <v>78562</v>
      </c>
      <c r="B182" t="s">
        <v>6</v>
      </c>
      <c r="C182" t="s">
        <v>230</v>
      </c>
      <c r="E182" s="1">
        <v>45380.917361111111</v>
      </c>
      <c r="F182" t="s">
        <v>226</v>
      </c>
      <c r="G182" t="s">
        <v>338</v>
      </c>
      <c r="J182" s="14" t="str">
        <f>IFERROR(
  IF(OR(ISNUMBER(SEARCH("should be existed", G182)), ISNUMBER(SEARCH("should exist", G182)), ISNUMBER(SEARCH("should be in wikidata", G182)), ISNUMBER(SEARCH("exists", G182))), "Should Exist",
  IF(OR(ISNUMBER(SEARCH("need further define", G182)), ISNUMBER(SEARCH("should be further define", G182)), ISNUMBER(SEARCH("unclear", G182)), ISNUMBER(SEARCH("prefix", G182)), ISNUMBER(SEARCH("incomplete", G182))), "Need Clarification",
  IF(OR(ISNUMBER(SEARCH("encoding", G182)), ISNUMBER(SEARCH("‚Ä", G182)), ISNUMBER(SEARCH("â€™", G182)), ISNUMBER(SEARCH("apostrophe", G182)), ISNUMBER(SEARCH("character", G182))), "Encoding Issue",
  IF(OR(ISNUMBER(SEARCH("not an organization", G182)), ISNUMBER(SEARCH("not org", G182)), ISNUMBER(SEARCH("title", G182)), ISNUMBER(SEARCH("initiative", G182)), ISNUMBER(SEARCH("not be considered", G182))), "Not an Organization",
  IF(OR(ISNUMBER(SEARCH("ambiguity", G182)), ISNUMBER(SEARCH("generic", G182)), ISNUMBER(SEARCH("common", G182)), ISNUMBER(SEARCH("similar name", G182))), "Name Ambiguity",
  IF(OR(ISNUMBER(SEARCH("abbreviation", G182)), ISNUMBER(SEARCH("short form", G182)), ISNUMBER(SEARCH("acronym", G182)), ISNUMBER(SEARCH("'s", G182)), ISNUMBER(SEARCH("variant", G182))), "Abbreviation Issue",
  IF(OR(ISNUMBER(SEARCH("does not exist", G182)), ISNUMBER(SEARCH("cannot find", G182)), ISNUMBER(SEARCH("no entry", G182)), ISNUMBER(SEARCH("not found", G182)), ISNUMBER(SEARCH("no such organization", G182))), "Does Not Exist",
  IF(OR(ISNUMBER(SEARCH("wrong classification", G182)), ISNUMBER(SEARCH("misidentified", G182)), ISNUMBER(SEARCH("recognitive error", G182)), ISNUMBER(SEARCH("should not", G182))), "Wrong Classification",
  IF(OR(ISNUMBER(SEARCH("repeated", G182)), ISNUMBER(SEARCH("duplicate", G182))), "Duplicated",
  IF(OR(ISNUMBER(SEARCH("split", G182)), ISNUMBER(SEARCH("separate into 2", G182)), ISNUMBER(SEARCH("contains 2 org", G182))), "Split Needed", "not find on wikidata, but exist")))))))))),"not find on wikidata, but exist")</f>
        <v>Name Ambiguity</v>
      </c>
    </row>
    <row r="183" spans="1:13" x14ac:dyDescent="0.2">
      <c r="A183">
        <v>78562</v>
      </c>
      <c r="B183" t="s">
        <v>6</v>
      </c>
      <c r="C183" t="s">
        <v>231</v>
      </c>
      <c r="E183" s="1">
        <v>45380.917361111111</v>
      </c>
      <c r="F183" t="s">
        <v>226</v>
      </c>
      <c r="G183" t="s">
        <v>274</v>
      </c>
      <c r="J183" t="s">
        <v>305</v>
      </c>
    </row>
    <row r="184" spans="1:13" x14ac:dyDescent="0.2">
      <c r="A184">
        <v>78799</v>
      </c>
      <c r="B184" t="s">
        <v>6</v>
      </c>
      <c r="C184" t="s">
        <v>232</v>
      </c>
      <c r="E184" s="1">
        <v>45411.384722222225</v>
      </c>
      <c r="F184" t="s">
        <v>233</v>
      </c>
      <c r="G184" t="s">
        <v>247</v>
      </c>
      <c r="J184" s="3" t="s">
        <v>307</v>
      </c>
      <c r="K184" t="s">
        <v>339</v>
      </c>
      <c r="M184" s="18" t="s">
        <v>357</v>
      </c>
    </row>
    <row r="185" spans="1:13" x14ac:dyDescent="0.2">
      <c r="A185">
        <v>78799</v>
      </c>
      <c r="B185" t="s">
        <v>6</v>
      </c>
      <c r="C185" t="s">
        <v>234</v>
      </c>
      <c r="E185" s="1">
        <v>45411.384722222225</v>
      </c>
      <c r="F185" t="s">
        <v>233</v>
      </c>
      <c r="G185" t="s">
        <v>255</v>
      </c>
      <c r="J185" s="14" t="str">
        <f>IFERROR(
  IF(OR(ISNUMBER(SEARCH("should be existed", G185)), ISNUMBER(SEARCH("should exist", G185)), ISNUMBER(SEARCH("should be in wikidata", G185)), ISNUMBER(SEARCH("exists", G185))), "Should Exist",
  IF(OR(ISNUMBER(SEARCH("need further define", G185)), ISNUMBER(SEARCH("should be further define", G185)), ISNUMBER(SEARCH("unclear", G185)), ISNUMBER(SEARCH("prefix", G185)), ISNUMBER(SEARCH("incomplete", G185))), "Need Clarification",
  IF(OR(ISNUMBER(SEARCH("encoding", G185)), ISNUMBER(SEARCH("‚Ä", G185)), ISNUMBER(SEARCH("â€™", G185)), ISNUMBER(SEARCH("apostrophe", G185)), ISNUMBER(SEARCH("character", G185))), "Encoding Issue",
  IF(OR(ISNUMBER(SEARCH("not an organization", G185)), ISNUMBER(SEARCH("not org", G185)), ISNUMBER(SEARCH("title", G185)), ISNUMBER(SEARCH("initiative", G185)), ISNUMBER(SEARCH("not be considered", G185))), "Not an Organization",
  IF(OR(ISNUMBER(SEARCH("ambiguity", G185)), ISNUMBER(SEARCH("generic", G185)), ISNUMBER(SEARCH("common", G185)), ISNUMBER(SEARCH("similar name", G185))), "Name Ambiguity",
  IF(OR(ISNUMBER(SEARCH("abbreviation", G185)), ISNUMBER(SEARCH("short form", G185)), ISNUMBER(SEARCH("acronym", G185)), ISNUMBER(SEARCH("'s", G185)), ISNUMBER(SEARCH("variant", G185))), "Abbreviation Issue",
  IF(OR(ISNUMBER(SEARCH("does not exist", G185)), ISNUMBER(SEARCH("cannot find", G185)), ISNUMBER(SEARCH("no entry", G185)), ISNUMBER(SEARCH("not found", G185)), ISNUMBER(SEARCH("no such organization", G185))), "Does Not Exist",
  IF(OR(ISNUMBER(SEARCH("wrong classification", G185)), ISNUMBER(SEARCH("misidentified", G185)), ISNUMBER(SEARCH("recognitive error", G185)), ISNUMBER(SEARCH("should not", G185))), "Wrong Classification",
  IF(OR(ISNUMBER(SEARCH("repeated", G185)), ISNUMBER(SEARCH("duplicate", G185))), "Duplicated",
  IF(OR(ISNUMBER(SEARCH("split", G185)), ISNUMBER(SEARCH("separate into 2", G185)), ISNUMBER(SEARCH("contains 2 org", G185))), "Split Needed", "not find on wikidata, but exist")))))))))),"not find on wikidata, but exist")</f>
        <v>Name Ambiguity</v>
      </c>
    </row>
    <row r="186" spans="1:13" x14ac:dyDescent="0.2">
      <c r="A186">
        <v>78799</v>
      </c>
      <c r="B186" t="s">
        <v>6</v>
      </c>
      <c r="C186" t="s">
        <v>235</v>
      </c>
      <c r="D186" s="1">
        <v>45411.384722222225</v>
      </c>
      <c r="E186" t="s">
        <v>233</v>
      </c>
      <c r="G186" t="s">
        <v>247</v>
      </c>
      <c r="J186" t="str">
        <f>IFERROR(
  IF(OR(ISNUMBER(SEARCH("should be existed", G186)), ISNUMBER(SEARCH("should exist", G186)), ISNUMBER(SEARCH("should be in wikidata", G186)), ISNUMBER(SEARCH("exists", G186))), "Should Exist",
  IF(OR(ISNUMBER(SEARCH("need further define", G186)), ISNUMBER(SEARCH("should be further define", G186)), ISNUMBER(SEARCH("unclear", G186)), ISNUMBER(SEARCH("prefix", G186)), ISNUMBER(SEARCH("incomplete", G186))), "Need Clarification",
  IF(OR(ISNUMBER(SEARCH("encoding", G186)), ISNUMBER(SEARCH("‚Ä", G186)), ISNUMBER(SEARCH("â€™", G186)), ISNUMBER(SEARCH("apostrophe", G186)), ISNUMBER(SEARCH("character", G186))), "Encoding Issue",
  IF(OR(ISNUMBER(SEARCH("not an organization", G186)), ISNUMBER(SEARCH("not org", G186)), ISNUMBER(SEARCH("title", G186)), ISNUMBER(SEARCH("initiative", G186)), ISNUMBER(SEARCH("not be considered", G186))), "Not an Organization",
  IF(OR(ISNUMBER(SEARCH("ambiguity", G186)), ISNUMBER(SEARCH("generic", G186)), ISNUMBER(SEARCH("common", G186)), ISNUMBER(SEARCH("similar name", G186))), "Name Ambiguity",
  IF(OR(ISNUMBER(SEARCH("abbreviation", G186)), ISNUMBER(SEARCH("short form", G186)), ISNUMBER(SEARCH("acronym", G186)), ISNUMBER(SEARCH("'s", G186)), ISNUMBER(SEARCH("variant", G186))), "Abbreviation Issue",
  IF(OR(ISNUMBER(SEARCH("does not exist", G186)), ISNUMBER(SEARCH("cannot find", G186)), ISNUMBER(SEARCH("no entry", G186)), ISNUMBER(SEARCH("not found", G186)), ISNUMBER(SEARCH("no such organization", G186))), "Does Not Exist",
  IF(OR(ISNUMBER(SEARCH("wrong classification", G186)), ISNUMBER(SEARCH("misidentified", G186)), ISNUMBER(SEARCH("recognitive error", G186)), ISNUMBER(SEARCH("should not", G186))), "Wrong Classification",
  IF(OR(ISNUMBER(SEARCH("repeated", G186)), ISNUMBER(SEARCH("duplicate", G186))), "Duplicated",
  IF(OR(ISNUMBER(SEARCH("split", G186)), ISNUMBER(SEARCH("separate into 2", G186)), ISNUMBER(SEARCH("contains 2 org", G186))), "Split Needed", "not find on wikidata, but exist")))))))))),"not find on wikidata, but exist")</f>
        <v>Encoding Issue</v>
      </c>
    </row>
    <row r="187" spans="1:13" x14ac:dyDescent="0.2">
      <c r="A187">
        <v>78799</v>
      </c>
      <c r="B187" t="s">
        <v>6</v>
      </c>
      <c r="C187" t="s">
        <v>236</v>
      </c>
      <c r="E187" s="1">
        <v>45411.384722222225</v>
      </c>
      <c r="F187" t="s">
        <v>233</v>
      </c>
      <c r="G187" t="s">
        <v>340</v>
      </c>
      <c r="J187" t="s">
        <v>305</v>
      </c>
    </row>
    <row r="188" spans="1:13" x14ac:dyDescent="0.2">
      <c r="A188">
        <v>78799</v>
      </c>
      <c r="B188" t="s">
        <v>6</v>
      </c>
      <c r="C188" t="s">
        <v>237</v>
      </c>
      <c r="E188" s="1">
        <v>45411.384722222225</v>
      </c>
      <c r="F188" t="s">
        <v>233</v>
      </c>
      <c r="G188" t="s">
        <v>341</v>
      </c>
      <c r="J188" t="s">
        <v>305</v>
      </c>
    </row>
    <row r="189" spans="1:13" x14ac:dyDescent="0.2">
      <c r="A189">
        <v>80130</v>
      </c>
      <c r="B189" t="s">
        <v>6</v>
      </c>
      <c r="C189" t="s">
        <v>238</v>
      </c>
      <c r="D189" s="1">
        <v>45343.273611111108</v>
      </c>
      <c r="E189" t="s">
        <v>239</v>
      </c>
      <c r="G189" t="s">
        <v>268</v>
      </c>
      <c r="J189" s="20" t="s">
        <v>366</v>
      </c>
      <c r="M189" s="7" t="s">
        <v>326</v>
      </c>
    </row>
    <row r="190" spans="1:13" x14ac:dyDescent="0.2">
      <c r="A190">
        <v>80130</v>
      </c>
      <c r="B190" t="s">
        <v>6</v>
      </c>
      <c r="C190" t="s">
        <v>240</v>
      </c>
      <c r="E190" s="1">
        <v>45343.273611111108</v>
      </c>
      <c r="F190" t="s">
        <v>239</v>
      </c>
      <c r="G190" t="s">
        <v>342</v>
      </c>
      <c r="J190" s="14" t="s">
        <v>303</v>
      </c>
    </row>
    <row r="191" spans="1:13" x14ac:dyDescent="0.2">
      <c r="A191">
        <v>80130</v>
      </c>
      <c r="B191" t="s">
        <v>6</v>
      </c>
      <c r="C191" t="s">
        <v>241</v>
      </c>
      <c r="E191" s="1">
        <v>45343.273611111108</v>
      </c>
      <c r="F191" t="s">
        <v>239</v>
      </c>
      <c r="G191" t="s">
        <v>343</v>
      </c>
      <c r="J191" s="20" t="s">
        <v>366</v>
      </c>
      <c r="M191" s="7" t="s">
        <v>326</v>
      </c>
    </row>
    <row r="192" spans="1:13" x14ac:dyDescent="0.2">
      <c r="A192">
        <v>80130</v>
      </c>
      <c r="B192" t="s">
        <v>6</v>
      </c>
      <c r="C192" t="s">
        <v>242</v>
      </c>
      <c r="E192" s="1">
        <v>45343.273611111108</v>
      </c>
      <c r="F192" t="s">
        <v>239</v>
      </c>
      <c r="G192" t="s">
        <v>274</v>
      </c>
      <c r="J192" t="s">
        <v>305</v>
      </c>
    </row>
    <row r="193" spans="1:10" x14ac:dyDescent="0.2">
      <c r="A193">
        <v>80130</v>
      </c>
      <c r="B193" t="s">
        <v>6</v>
      </c>
      <c r="C193" t="s">
        <v>243</v>
      </c>
      <c r="E193" s="1">
        <v>45343.273611111108</v>
      </c>
      <c r="F193" t="s">
        <v>239</v>
      </c>
      <c r="G193" t="s">
        <v>344</v>
      </c>
      <c r="J193" s="14" t="s">
        <v>303</v>
      </c>
    </row>
  </sheetData>
  <hyperlinks>
    <hyperlink ref="E5" r:id="rId1" xr:uid="{4C25E97C-89B0-9247-835B-A53130C0F4B7}"/>
    <hyperlink ref="F9" r:id="rId2" xr:uid="{CC079E6D-E702-2649-8C63-64146D7FE42C}"/>
  </hyperlinks>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FF39C-2612-6F43-A75C-2AC201B17A2D}">
  <dimension ref="A1:D7"/>
  <sheetViews>
    <sheetView tabSelected="1" workbookViewId="0">
      <selection activeCell="D5" sqref="D5"/>
    </sheetView>
  </sheetViews>
  <sheetFormatPr baseColWidth="10" defaultRowHeight="16" x14ac:dyDescent="0.2"/>
  <cols>
    <col min="1" max="1" width="40.33203125" customWidth="1"/>
  </cols>
  <sheetData>
    <row r="1" spans="1:4" ht="19" x14ac:dyDescent="0.25">
      <c r="A1" s="6" t="s">
        <v>301</v>
      </c>
      <c r="B1" s="6" t="s">
        <v>302</v>
      </c>
      <c r="C1" s="6" t="s">
        <v>306</v>
      </c>
    </row>
    <row r="2" spans="1:4" ht="19" x14ac:dyDescent="0.25">
      <c r="A2" s="4" t="s">
        <v>364</v>
      </c>
      <c r="B2" s="4">
        <v>67</v>
      </c>
      <c r="C2" s="5">
        <v>0.34899999999999998</v>
      </c>
    </row>
    <row r="3" spans="1:4" ht="19" x14ac:dyDescent="0.25">
      <c r="A3" s="4" t="s">
        <v>303</v>
      </c>
      <c r="B3" s="4">
        <v>48</v>
      </c>
      <c r="C3" s="5">
        <v>0.25</v>
      </c>
    </row>
    <row r="4" spans="1:4" ht="19" x14ac:dyDescent="0.25">
      <c r="A4" s="4" t="s">
        <v>305</v>
      </c>
      <c r="B4" s="4">
        <v>35</v>
      </c>
      <c r="C4" s="5">
        <v>0.18229999999999999</v>
      </c>
    </row>
    <row r="5" spans="1:4" ht="19" x14ac:dyDescent="0.25">
      <c r="A5" s="4" t="s">
        <v>366</v>
      </c>
      <c r="B5" s="4">
        <v>28</v>
      </c>
      <c r="C5" s="5">
        <v>0.14580000000000001</v>
      </c>
      <c r="D5" s="4" t="s">
        <v>365</v>
      </c>
    </row>
    <row r="6" spans="1:4" ht="19" x14ac:dyDescent="0.25">
      <c r="A6" s="4" t="s">
        <v>304</v>
      </c>
      <c r="B6" s="4">
        <v>12</v>
      </c>
      <c r="C6" s="5">
        <v>6.25E-2</v>
      </c>
    </row>
    <row r="7" spans="1:4" ht="19" x14ac:dyDescent="0.25">
      <c r="A7" s="4" t="s">
        <v>297</v>
      </c>
      <c r="B7" s="4">
        <v>2</v>
      </c>
      <c r="C7" s="5">
        <v>1.04E-2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entities_duplicates_removed</vt:lpstr>
      <vt:lpstr>error_proportion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Shen Xiuping - PEBD</cp:lastModifiedBy>
  <dcterms:created xsi:type="dcterms:W3CDTF">2025-06-26T12:22:23Z</dcterms:created>
  <dcterms:modified xsi:type="dcterms:W3CDTF">2025-12-19T19:50:34Z</dcterms:modified>
</cp:coreProperties>
</file>